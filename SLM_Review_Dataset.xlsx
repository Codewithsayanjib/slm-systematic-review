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_102" sheetId="1" state="visible" r:id="rId1"/>
    <sheet xmlns:r="http://schemas.openxmlformats.org/officeDocument/2006/relationships" name="Excluded_18" sheetId="2" state="visible" r:id="rId2"/>
    <sheet xmlns:r="http://schemas.openxmlformats.org/officeDocument/2006/relationships" name="PRISMA_Flow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'Included_102'!$A$1:$Z$103</definedName>
    <definedName name="_xlnm._FilterDatabase" localSheetId="1" hidden="1">'Excluded_18'!$A$1:$I$19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B2329"/>
      <sz val="11"/>
    </font>
    <font>
      <color rgb="000969DA"/>
      <u val="single"/>
    </font>
    <font>
      <b val="1"/>
      <color rgb="001F3A5F"/>
      <sz val="16"/>
    </font>
    <font>
      <i val="1"/>
      <color rgb="0057606A"/>
      <sz val="10"/>
    </font>
    <font>
      <b val="1"/>
    </font>
    <font>
      <b val="1"/>
      <color rgb="001F3A5F"/>
      <sz val="12"/>
    </font>
    <font>
      <b val="1"/>
      <color rgb="001B2329"/>
    </font>
    <font>
      <i val="1"/>
      <color rgb="0057606A"/>
      <sz val="9"/>
    </font>
  </fonts>
  <fills count="8">
    <fill>
      <patternFill/>
    </fill>
    <fill>
      <patternFill patternType="gray125"/>
    </fill>
    <fill>
      <patternFill patternType="solid">
        <fgColor rgb="00EEF1F3"/>
      </patternFill>
    </fill>
    <fill>
      <patternFill patternType="solid">
        <fgColor rgb="00FBEAF0"/>
      </patternFill>
    </fill>
    <fill>
      <patternFill patternType="solid">
        <fgColor rgb="00FCF6DD"/>
      </patternFill>
    </fill>
    <fill>
      <patternFill patternType="solid">
        <fgColor rgb="00EFEAFA"/>
      </patternFill>
    </fill>
    <fill>
      <patternFill patternType="solid">
        <fgColor rgb="00EAF5EA"/>
      </patternFill>
    </fill>
    <fill>
      <patternFill patternType="solid">
        <fgColor rgb="00DDF4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5" fillId="7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5" fillId="2" borderId="1" pivotButton="0" quotePrefix="0" xfId="0"/>
    <xf numFmtId="164" fontId="0" fillId="2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7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Publication year (Figure 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'Summary'!$A$6:$A$10</f>
            </numRef>
          </cat>
          <val>
            <numRef>
              <f>'Summary'!$B$6:$B$10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 scale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'Summary'!$A$16:$A$21</f>
            </numRef>
          </cat>
          <val>
            <numRef>
              <f>'Summary'!$B$16:$B$21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 domain (Figure 4, Tables 4–5)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'Summary'!$A$27:$A$36</f>
            </numRef>
          </cat>
          <val>
            <numRef>
              <f>'Summary'!$B$27:$B$36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First-author country (Figure 2)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'Summary'!$A$80:$A$106</f>
            </numRef>
          </cat>
          <val>
            <numRef>
              <f>'Summary'!$B$80:$B$106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14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25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78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06.02153" TargetMode="External" Id="rId1"/><Relationship Type="http://schemas.openxmlformats.org/officeDocument/2006/relationships/hyperlink" Target="https://arxiv.org/abs/2408.05933" TargetMode="External" Id="rId2"/><Relationship Type="http://schemas.openxmlformats.org/officeDocument/2006/relationships/hyperlink" Target="https://arxiv.org/abs/2305.07804" TargetMode="External" Id="rId3"/><Relationship Type="http://schemas.openxmlformats.org/officeDocument/2006/relationships/hyperlink" Target="https://doi.org/10.1136/bmjdhai-2025-000068" TargetMode="External" Id="rId4"/><Relationship Type="http://schemas.openxmlformats.org/officeDocument/2006/relationships/hyperlink" Target="https://mdanderson.elsevierpure.com/en/publications/adaptive-privacy-preserving-small-language-models-for-multi-task-/" TargetMode="External" Id="rId5"/><Relationship Type="http://schemas.openxmlformats.org/officeDocument/2006/relationships/hyperlink" Target="https://aclanthology.org/2023.emnlp-main.575" TargetMode="External" Id="rId6"/><Relationship Type="http://schemas.openxmlformats.org/officeDocument/2006/relationships/hyperlink" Target="https://aclanthology.org/2026.eacl-industry.51" TargetMode="External" Id="rId7"/><Relationship Type="http://schemas.openxmlformats.org/officeDocument/2006/relationships/hyperlink" Target="https://arxiv.org/abs/2410.13187" TargetMode="External" Id="rId8"/><Relationship Type="http://schemas.openxmlformats.org/officeDocument/2006/relationships/hyperlink" Target="https://ojs.aaai.org/index.php/AAAI/article/view/29197" TargetMode="External" Id="rId9"/><Relationship Type="http://schemas.openxmlformats.org/officeDocument/2006/relationships/hyperlink" Target="https://arxiv.org/abs/2312.05562" TargetMode="External" Id="rId10"/><Relationship Type="http://schemas.openxmlformats.org/officeDocument/2006/relationships/hyperlink" Target="https://arxiv.org/abs/2312.05657" TargetMode="External" Id="rId11"/><Relationship Type="http://schemas.openxmlformats.org/officeDocument/2006/relationships/hyperlink" Target="https://doi.org/10.3390/software5020019" TargetMode="External" Id="rId12"/><Relationship Type="http://schemas.openxmlformats.org/officeDocument/2006/relationships/hyperlink" Target="https://arxiv.org/abs/2507.03160" TargetMode="External" Id="rId13"/><Relationship Type="http://schemas.openxmlformats.org/officeDocument/2006/relationships/hyperlink" Target="https://arxiv.org/abs/2409.15985" TargetMode="External" Id="rId14"/><Relationship Type="http://schemas.openxmlformats.org/officeDocument/2006/relationships/hyperlink" Target="https://arxiv.org/abs/2503.01151" TargetMode="External" Id="rId15"/><Relationship Type="http://schemas.openxmlformats.org/officeDocument/2006/relationships/hyperlink" Target="https://doi.org/10.1109/LGRS.2025.3562290" TargetMode="External" Id="rId16"/><Relationship Type="http://schemas.openxmlformats.org/officeDocument/2006/relationships/hyperlink" Target="https://doi.org/10.1016/j.xcrp.2025.102724" TargetMode="External" Id="rId17"/><Relationship Type="http://schemas.openxmlformats.org/officeDocument/2006/relationships/hyperlink" Target="https://doi.org/10.1016/j.fufo.2026.100561" TargetMode="External" Id="rId18"/><Relationship Type="http://schemas.openxmlformats.org/officeDocument/2006/relationships/hyperlink" Target="https://arxiv.org/abs/2206.00208" TargetMode="External" Id="rId19"/><Relationship Type="http://schemas.openxmlformats.org/officeDocument/2006/relationships/hyperlink" Target="https://doi.org/10.21437/Interspeech.2023-2310" TargetMode="External" Id="rId20"/><Relationship Type="http://schemas.openxmlformats.org/officeDocument/2006/relationships/hyperlink" Target="https://arxiv.org/abs/2304.11408" TargetMode="External" Id="rId21"/><Relationship Type="http://schemas.openxmlformats.org/officeDocument/2006/relationships/hyperlink" Target="https://arxiv.org/abs/2405.01577" TargetMode="External" Id="rId22"/><Relationship Type="http://schemas.openxmlformats.org/officeDocument/2006/relationships/hyperlink" Target="https://arxiv.org/abs/2602.13954" TargetMode="External" Id="rId23"/><Relationship Type="http://schemas.openxmlformats.org/officeDocument/2006/relationships/hyperlink" Target="https://neurips.cc/virtual/2025/poster/115468" TargetMode="External" Id="rId24"/><Relationship Type="http://schemas.openxmlformats.org/officeDocument/2006/relationships/hyperlink" Target="https://openreview.net/forum?id=93bWCbhXJR" TargetMode="External" Id="rId25"/><Relationship Type="http://schemas.openxmlformats.org/officeDocument/2006/relationships/hyperlink" Target="https://arxiv.org/abs/2403.20041" TargetMode="External" Id="rId26"/><Relationship Type="http://schemas.openxmlformats.org/officeDocument/2006/relationships/hyperlink" Target="https://arxiv.org/abs/2505.16508" TargetMode="External" Id="rId27"/><Relationship Type="http://schemas.openxmlformats.org/officeDocument/2006/relationships/hyperlink" Target="https://arxiv.org/abs/2602.14302" TargetMode="External" Id="rId28"/><Relationship Type="http://schemas.openxmlformats.org/officeDocument/2006/relationships/hyperlink" Target="https://www.usenix.org/conference/atc25/presentation/tian" TargetMode="External" Id="rId29"/><Relationship Type="http://schemas.openxmlformats.org/officeDocument/2006/relationships/hyperlink" Target="https://aclanthology.org/2022.naacl-main.23" TargetMode="External" Id="rId30"/><Relationship Type="http://schemas.openxmlformats.org/officeDocument/2006/relationships/hyperlink" Target="https://arxiv.org/abs/2408.17024" TargetMode="External" Id="rId31"/><Relationship Type="http://schemas.openxmlformats.org/officeDocument/2006/relationships/hyperlink" Target="https://arxiv.org/abs/2601.17664" TargetMode="External" Id="rId32"/><Relationship Type="http://schemas.openxmlformats.org/officeDocument/2006/relationships/hyperlink" Target="https://aclanthology.org/2022.lrec-1.457" TargetMode="External" Id="rId33"/><Relationship Type="http://schemas.openxmlformats.org/officeDocument/2006/relationships/hyperlink" Target="https://arxiv.org/abs/2603.03508" TargetMode="External" Id="rId34"/><Relationship Type="http://schemas.openxmlformats.org/officeDocument/2006/relationships/hyperlink" Target="https://aclanthology.org/2023.ranlp-1.24" TargetMode="External" Id="rId35"/><Relationship Type="http://schemas.openxmlformats.org/officeDocument/2006/relationships/hyperlink" Target="https://aclanthology.org/2024.lrec-main.960" TargetMode="External" Id="rId36"/><Relationship Type="http://schemas.openxmlformats.org/officeDocument/2006/relationships/hyperlink" Target="https://arxiv.org/abs/2504.15120" TargetMode="External" Id="rId37"/><Relationship Type="http://schemas.openxmlformats.org/officeDocument/2006/relationships/hyperlink" Target="https://arxiv.org/abs/2504.21635" TargetMode="External" Id="rId38"/><Relationship Type="http://schemas.openxmlformats.org/officeDocument/2006/relationships/hyperlink" Target="https://doi.org/10.18653/v1/2022.mrl-1.9" TargetMode="External" Id="rId39"/><Relationship Type="http://schemas.openxmlformats.org/officeDocument/2006/relationships/hyperlink" Target="https://doi.org/10.18653/v1/2025.acl-srw.24" TargetMode="External" Id="rId40"/><Relationship Type="http://schemas.openxmlformats.org/officeDocument/2006/relationships/hyperlink" Target="https://aclanthology.org/2026.abjadnlp-1.30" TargetMode="External" Id="rId41"/><Relationship Type="http://schemas.openxmlformats.org/officeDocument/2006/relationships/hyperlink" Target="https://aclanthology.org/2024.emnlp-main.1" TargetMode="External" Id="rId42"/><Relationship Type="http://schemas.openxmlformats.org/officeDocument/2006/relationships/hyperlink" Target="https://aclanthology.org/2023.conll-babylm.3" TargetMode="External" Id="rId43"/><Relationship Type="http://schemas.openxmlformats.org/officeDocument/2006/relationships/hyperlink" Target="https://doi.org/10.18653/v1/2024.emnlp-demo.9" TargetMode="External" Id="rId44"/><Relationship Type="http://schemas.openxmlformats.org/officeDocument/2006/relationships/hyperlink" Target="https://arxiv.org/abs/2404.01744" TargetMode="External" Id="rId45"/><Relationship Type="http://schemas.openxmlformats.org/officeDocument/2006/relationships/hyperlink" Target="https://arxiv.org/abs/2506.22760" TargetMode="External" Id="rId46"/><Relationship Type="http://schemas.openxmlformats.org/officeDocument/2006/relationships/hyperlink" Target="https://proceedings.mlr.press/v267/guan25f.html" TargetMode="External" Id="rId47"/><Relationship Type="http://schemas.openxmlformats.org/officeDocument/2006/relationships/hyperlink" Target="https://doi.org/10.18653/v1/2024.findings-acl.924" TargetMode="External" Id="rId48"/><Relationship Type="http://schemas.openxmlformats.org/officeDocument/2006/relationships/hyperlink" Target="https://doi.org/10.18653/v1/2026.findings-eacl.69" TargetMode="External" Id="rId49"/><Relationship Type="http://schemas.openxmlformats.org/officeDocument/2006/relationships/hyperlink" Target="https://arxiv.org/abs/2503.16219" TargetMode="External" Id="rId50"/><Relationship Type="http://schemas.openxmlformats.org/officeDocument/2006/relationships/hyperlink" Target="https://arxiv.org/abs/2603.11650" TargetMode="External" Id="rId51"/><Relationship Type="http://schemas.openxmlformats.org/officeDocument/2006/relationships/hyperlink" Target="https://doi.org/10.18653/v1/2026.findings-acl.824" TargetMode="External" Id="rId52"/><Relationship Type="http://schemas.openxmlformats.org/officeDocument/2006/relationships/hyperlink" Target="https://doi.org/10.18653/v1/2026.findings-eacl.255" TargetMode="External" Id="rId53"/><Relationship Type="http://schemas.openxmlformats.org/officeDocument/2006/relationships/hyperlink" Target="https://doi.org/10.1109/ICAACE69793.2026.11508939" TargetMode="External" Id="rId54"/><Relationship Type="http://schemas.openxmlformats.org/officeDocument/2006/relationships/hyperlink" Target="https://doi.org/10.18653/v1/2025.acl-demo.42" TargetMode="External" Id="rId55"/><Relationship Type="http://schemas.openxmlformats.org/officeDocument/2006/relationships/hyperlink" Target="https://arxiv.org/abs/2506.23491" TargetMode="External" Id="rId56"/><Relationship Type="http://schemas.openxmlformats.org/officeDocument/2006/relationships/hyperlink" Target="https://arxiv.org/abs/2404.01663" TargetMode="External" Id="rId57"/><Relationship Type="http://schemas.openxmlformats.org/officeDocument/2006/relationships/hyperlink" Target="https://doi.org/10.18653/v1/2024.acl-long.242" TargetMode="External" Id="rId58"/><Relationship Type="http://schemas.openxmlformats.org/officeDocument/2006/relationships/hyperlink" Target="https://arxiv.org/abs/2312.00388" TargetMode="External" Id="rId59"/><Relationship Type="http://schemas.openxmlformats.org/officeDocument/2006/relationships/hyperlink" Target="https://arxiv.org/abs/2306.17256" TargetMode="External" Id="rId60"/><Relationship Type="http://schemas.openxmlformats.org/officeDocument/2006/relationships/hyperlink" Target="https://doi.org/10.3390/s26051590" TargetMode="External" Id="rId61"/><Relationship Type="http://schemas.openxmlformats.org/officeDocument/2006/relationships/hyperlink" Target="https://arxiv.org/abs/2410.11331" TargetMode="External" Id="rId62"/><Relationship Type="http://schemas.openxmlformats.org/officeDocument/2006/relationships/hyperlink" Target="https://arxiv.org/abs/2310.17488" TargetMode="External" Id="rId63"/><Relationship Type="http://schemas.openxmlformats.org/officeDocument/2006/relationships/hyperlink" Target="https://doi.org/10.1145/3632410.3632451" TargetMode="External" Id="rId64"/><Relationship Type="http://schemas.openxmlformats.org/officeDocument/2006/relationships/hyperlink" Target="https://doi.org/10.18653/v1/2023.emnlp-industry.43" TargetMode="External" Id="rId65"/><Relationship Type="http://schemas.openxmlformats.org/officeDocument/2006/relationships/hyperlink" Target="https://peerj.com/articles/cs-3287" TargetMode="External" Id="rId66"/><Relationship Type="http://schemas.openxmlformats.org/officeDocument/2006/relationships/hyperlink" Target="https://arxiv.org/abs/2404.07647" TargetMode="External" Id="rId67"/><Relationship Type="http://schemas.openxmlformats.org/officeDocument/2006/relationships/hyperlink" Target="https://proceedings.mlr.press/v235/liu24ce.html" TargetMode="External" Id="rId68"/><Relationship Type="http://schemas.openxmlformats.org/officeDocument/2006/relationships/hyperlink" Target="https://ceur-ws.org/Vol-4038/paper_211.pdf" TargetMode="External" Id="rId69"/><Relationship Type="http://schemas.openxmlformats.org/officeDocument/2006/relationships/hyperlink" Target="https://arxiv.org/abs/2504.17376" TargetMode="External" Id="rId70"/><Relationship Type="http://schemas.openxmlformats.org/officeDocument/2006/relationships/hyperlink" Target="https://ieeexplore.ieee.org/document/11198611" TargetMode="External" Id="rId71"/><Relationship Type="http://schemas.openxmlformats.org/officeDocument/2006/relationships/hyperlink" Target="https://ieeexplore.ieee.org/document/11183347" TargetMode="External" Id="rId72"/><Relationship Type="http://schemas.openxmlformats.org/officeDocument/2006/relationships/hyperlink" Target="https://doi.org/10.1109/BigData66926.2025.11401605" TargetMode="External" Id="rId73"/><Relationship Type="http://schemas.openxmlformats.org/officeDocument/2006/relationships/hyperlink" Target="https://proceedings.neurips.cc/paper_files/paper/2023/hash/efbba7719cc5172d175240f24be11280-Abstract-Conference.html" TargetMode="External" Id="rId74"/><Relationship Type="http://schemas.openxmlformats.org/officeDocument/2006/relationships/hyperlink" Target="https://ieeexplore.ieee.org/document/11054269" TargetMode="External" Id="rId75"/><Relationship Type="http://schemas.openxmlformats.org/officeDocument/2006/relationships/hyperlink" Target="https://link.springer.com/book/10.1007/978-981-97-7966-6" TargetMode="External" Id="rId76"/><Relationship Type="http://schemas.openxmlformats.org/officeDocument/2006/relationships/hyperlink" Target="https://link.springer.com/chapter/10.1007/978-981-97-7966-6_15" TargetMode="External" Id="rId77"/><Relationship Type="http://schemas.openxmlformats.org/officeDocument/2006/relationships/hyperlink" Target="https://doi.org/10.18653/v1/2026.findings-acl.277" TargetMode="External" Id="rId78"/><Relationship Type="http://schemas.openxmlformats.org/officeDocument/2006/relationships/hyperlink" Target="https://proceedings.mlr.press/v267/aggarwal25b.html" TargetMode="External" Id="rId79"/><Relationship Type="http://schemas.openxmlformats.org/officeDocument/2006/relationships/hyperlink" Target="https://doi.org/10.21203/rs.3.rs-8695070/v1" TargetMode="External" Id="rId80"/><Relationship Type="http://schemas.openxmlformats.org/officeDocument/2006/relationships/hyperlink" Target="https://arxiv.org/abs/2604.23801" TargetMode="External" Id="rId81"/><Relationship Type="http://schemas.openxmlformats.org/officeDocument/2006/relationships/hyperlink" Target="https://ieeexplore.ieee.org/abstract/document/11302446" TargetMode="External" Id="rId82"/><Relationship Type="http://schemas.openxmlformats.org/officeDocument/2006/relationships/hyperlink" Target="https://doi.org/10.3389/fdgth.2026.1785443" TargetMode="External" Id="rId83"/><Relationship Type="http://schemas.openxmlformats.org/officeDocument/2006/relationships/hyperlink" Target="https://arxiv.org/abs/2503.09114" TargetMode="External" Id="rId84"/><Relationship Type="http://schemas.openxmlformats.org/officeDocument/2006/relationships/hyperlink" Target="https://arxiv.org/abs/2511.22334" TargetMode="External" Id="rId85"/><Relationship Type="http://schemas.openxmlformats.org/officeDocument/2006/relationships/hyperlink" Target="https://proceedings.neurips.cc/paper_files/paper/2024/hash/4822991365c962105b1b95b1107d30e5-Abstract-Conference.html" TargetMode="External" Id="rId86"/><Relationship Type="http://schemas.openxmlformats.org/officeDocument/2006/relationships/hyperlink" Target="https://arxiv.org/abs/2310.03971" TargetMode="External" Id="rId87"/><Relationship Type="http://schemas.openxmlformats.org/officeDocument/2006/relationships/hyperlink" Target="https://aclanthology.org/2025.emnlp-main.1659" TargetMode="External" Id="rId88"/><Relationship Type="http://schemas.openxmlformats.org/officeDocument/2006/relationships/hyperlink" Target="https://ojs.aaai.org/index.php/AAAI/article/view/40256" TargetMode="External" Id="rId89"/><Relationship Type="http://schemas.openxmlformats.org/officeDocument/2006/relationships/hyperlink" Target="https://aclanthology.org/2025.trustnlp-main.25" TargetMode="External" Id="rId90"/><Relationship Type="http://schemas.openxmlformats.org/officeDocument/2006/relationships/hyperlink" Target="https://arxiv.org/abs/2504.03360" TargetMode="External" Id="rId91"/><Relationship Type="http://schemas.openxmlformats.org/officeDocument/2006/relationships/hyperlink" Target="https://www.esann.org/sites/default/files/proceedings/2026/ES2026-274.pdf" TargetMode="External" Id="rId92"/><Relationship Type="http://schemas.openxmlformats.org/officeDocument/2006/relationships/hyperlink" Target="https://arxiv.org/abs/2311.11045" TargetMode="External" Id="rId93"/><Relationship Type="http://schemas.openxmlformats.org/officeDocument/2006/relationships/hyperlink" Target="https://aclanthology.org/2025.acl-industry.4" TargetMode="External" Id="rId94"/><Relationship Type="http://schemas.openxmlformats.org/officeDocument/2006/relationships/hyperlink" Target="https://pics.iamzhaokun.com/doc/report/Resource-Efficient%20Knowledge%20Distillation%20for%20Qwen2.5-0.5B-Instruct.pdf" TargetMode="External" Id="rId95"/><Relationship Type="http://schemas.openxmlformats.org/officeDocument/2006/relationships/hyperlink" Target="https://aclanthology.org/2025.findings-acl.1301" TargetMode="External" Id="rId96"/><Relationship Type="http://schemas.openxmlformats.org/officeDocument/2006/relationships/hyperlink" Target="https://aclanthology.org/2025.emnlp-industry.52" TargetMode="External" Id="rId97"/><Relationship Type="http://schemas.openxmlformats.org/officeDocument/2006/relationships/hyperlink" Target="https://arxiv.org/abs/2502.02737" TargetMode="External" Id="rId98"/><Relationship Type="http://schemas.openxmlformats.org/officeDocument/2006/relationships/hyperlink" Target="https://openreview.net/forum?id=Eo7kv0sllr" TargetMode="External" Id="rId99"/><Relationship Type="http://schemas.openxmlformats.org/officeDocument/2006/relationships/hyperlink" Target="https://aclanthology.org/2023.findings-emnlp.791" TargetMode="External" Id="rId100"/><Relationship Type="http://schemas.openxmlformats.org/officeDocument/2006/relationships/hyperlink" Target="https://aclanthology.org/2024.lrec-main.252" TargetMode="External" Id="rId101"/><Relationship Type="http://schemas.openxmlformats.org/officeDocument/2006/relationships/hyperlink" Target="https://doi.org/10.1145/3749840" TargetMode="External" Id="rId102"/></Relationships>
</file>

<file path=xl/worksheets/_rels/sheet2.xml.rels><Relationships xmlns="http://schemas.openxmlformats.org/package/2006/relationships"><Relationship Type="http://schemas.openxmlformats.org/officeDocument/2006/relationships/hyperlink" Target="https://arxiv.org/abs/2509.19566" TargetMode="External" Id="rId1"/><Relationship Type="http://schemas.openxmlformats.org/officeDocument/2006/relationships/hyperlink" Target="https://arxiv.org/abs/2512.21578" TargetMode="External" Id="rId2"/><Relationship Type="http://schemas.openxmlformats.org/officeDocument/2006/relationships/hyperlink" Target="https://arxiv.org/abs/2207.12866" TargetMode="External" Id="rId3"/><Relationship Type="http://schemas.openxmlformats.org/officeDocument/2006/relationships/hyperlink" Target="https://arxiv.org/abs/2603.11513" TargetMode="External" Id="rId4"/><Relationship Type="http://schemas.openxmlformats.org/officeDocument/2006/relationships/hyperlink" Target="https://doi.org/10.1007/978-3-032-28117-3_9" TargetMode="External" Id="rId5"/><Relationship Type="http://schemas.openxmlformats.org/officeDocument/2006/relationships/hyperlink" Target="https://arxiv.org/abs/2603.18037" TargetMode="External" Id="rId6"/><Relationship Type="http://schemas.openxmlformats.org/officeDocument/2006/relationships/hyperlink" Target="https://arxiv.org/abs/2603.16410" TargetMode="External" Id="rId7"/><Relationship Type="http://schemas.openxmlformats.org/officeDocument/2006/relationships/hyperlink" Target="https://doi.org/10.1007/978-981-16-3153-5_53" TargetMode="External" Id="rId8"/><Relationship Type="http://schemas.openxmlformats.org/officeDocument/2006/relationships/hyperlink" Target="https://arxiv.org/abs/2605.07990" TargetMode="External" Id="rId9"/><Relationship Type="http://schemas.openxmlformats.org/officeDocument/2006/relationships/hyperlink" Target="https://arxiv.org/abs/2106.11804" TargetMode="External" Id="rId10"/><Relationship Type="http://schemas.openxmlformats.org/officeDocument/2006/relationships/hyperlink" Target="https://arxiv.org/abs/2502.18467" TargetMode="External" Id="rId11"/><Relationship Type="http://schemas.openxmlformats.org/officeDocument/2006/relationships/hyperlink" Target="https://jitm.ut.ac.ir/article_107165.html" TargetMode="External" Id="rId12"/><Relationship Type="http://schemas.openxmlformats.org/officeDocument/2006/relationships/hyperlink" Target="https://arxiv.org/abs/2605.22721" TargetMode="External" Id="rId13"/><Relationship Type="http://schemas.openxmlformats.org/officeDocument/2006/relationships/hyperlink" Target="https://arxiv.org/abs/2505.00025" TargetMode="External" Id="rId14"/><Relationship Type="http://schemas.openxmlformats.org/officeDocument/2006/relationships/hyperlink" Target="https://arxiv.org/abs/2501.18576" TargetMode="External" Id="rId15"/><Relationship Type="http://schemas.openxmlformats.org/officeDocument/2006/relationships/hyperlink" Target="https://arxiv.org/abs/2604.14171" TargetMode="External" Id="rId16"/><Relationship Type="http://schemas.openxmlformats.org/officeDocument/2006/relationships/hyperlink" Target="https://vfast.org/journals/index.php/VTCS/article/view/1885" TargetMode="External" Id="rId17"/><Relationship Type="http://schemas.openxmlformats.org/officeDocument/2006/relationships/hyperlink" Target="https://arxiv.org/abs/2410.15570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3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48" customWidth="1" min="4" max="4"/>
    <col width="6" customWidth="1" min="5" max="5"/>
    <col width="30" customWidth="1" min="6" max="6"/>
    <col width="28" customWidth="1" min="7" max="7"/>
    <col width="12" customWidth="1" min="8" max="8"/>
    <col width="22" customWidth="1" min="9" max="9"/>
    <col width="22" customWidth="1" min="10" max="10"/>
    <col width="6" customWidth="1" min="11" max="11"/>
    <col width="6" customWidth="1" min="12" max="12"/>
    <col width="6" customWidth="1" min="13" max="13"/>
    <col width="20" customWidth="1" min="14" max="14"/>
    <col width="30" customWidth="1" min="15" max="15"/>
    <col width="22" customWidth="1" min="16" max="16"/>
    <col width="22" customWidth="1" min="17" max="17"/>
    <col width="12" customWidth="1" min="18" max="18"/>
    <col width="22" customWidth="1" min="19" max="19"/>
    <col width="9" customWidth="1" min="20" max="20"/>
    <col width="24" customWidth="1" min="21" max="21"/>
    <col width="30" customWidth="1" min="22" max="22"/>
    <col width="30" customWidth="1" min="23" max="23"/>
    <col width="30" customWidth="1" min="24" max="24"/>
    <col width="45" customWidth="1" min="25" max="25"/>
    <col width="16" customWidth="1" min="26" max="26"/>
  </cols>
  <sheetData>
    <row r="1">
      <c r="A1" s="1" t="inlineStr">
        <is>
          <t>Ref. no.</t>
        </is>
      </c>
      <c r="B1" s="1" t="inlineStr">
        <is>
          <t>Citation key</t>
        </is>
      </c>
      <c r="C1" s="1" t="inlineStr">
        <is>
          <t>First author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Venue</t>
        </is>
      </c>
      <c r="G1" s="1" t="inlineStr">
        <is>
          <t>Link</t>
        </is>
      </c>
      <c r="H1" s="1" t="inlineStr">
        <is>
          <t>Status</t>
        </is>
      </c>
      <c r="I1" s="1" t="inlineStr">
        <is>
          <t>Published version</t>
        </is>
      </c>
      <c r="J1" s="1" t="inlineStr">
        <is>
          <t>Preprint criterion</t>
        </is>
      </c>
      <c r="K1" s="1" t="inlineStr">
        <is>
          <t>Crit. a</t>
        </is>
      </c>
      <c r="L1" s="1" t="inlineStr">
        <is>
          <t>Crit. b</t>
        </is>
      </c>
      <c r="M1" s="1" t="inlineStr">
        <is>
          <t>Crit. c</t>
        </is>
      </c>
      <c r="N1" s="1" t="inlineStr">
        <is>
          <t>Model / Method</t>
        </is>
      </c>
      <c r="O1" s="1" t="inlineStr">
        <is>
          <t>Models used</t>
        </is>
      </c>
      <c r="P1" s="1" t="inlineStr">
        <is>
          <t>Models created</t>
        </is>
      </c>
      <c r="Q1" s="1" t="inlineStr">
        <is>
          <t>Model size</t>
        </is>
      </c>
      <c r="R1" s="1" t="inlineStr">
        <is>
          <t>Main tier</t>
        </is>
      </c>
      <c r="S1" s="1" t="inlineStr">
        <is>
          <t>Tiers covered (≤10B)</t>
        </is>
      </c>
      <c r="T1" s="1" t="inlineStr">
        <is>
          <t>Uses 7–10B</t>
        </is>
      </c>
      <c r="U1" s="1" t="inlineStr">
        <is>
          <t>Domain</t>
        </is>
      </c>
      <c r="V1" s="1" t="inlineStr">
        <is>
          <t>Training data</t>
        </is>
      </c>
      <c r="W1" s="1" t="inlineStr">
        <is>
          <t>Evaluation data</t>
        </is>
      </c>
      <c r="X1" s="1" t="inlineStr">
        <is>
          <t>Tasks</t>
        </is>
      </c>
      <c r="Y1" s="1" t="inlineStr">
        <is>
          <t>Key contribution</t>
        </is>
      </c>
      <c r="Z1" s="1" t="inlineStr">
        <is>
          <t>Country (first author)</t>
        </is>
      </c>
    </row>
    <row r="2">
      <c r="A2" s="2" t="n">
        <v>5</v>
      </c>
      <c r="B2" s="2" t="inlineStr">
        <is>
          <t>belcak2025smalllanguagemodelsfuture</t>
        </is>
      </c>
      <c r="C2" s="2" t="inlineStr">
        <is>
          <t>Belcak et al.</t>
        </is>
      </c>
      <c r="D2" s="3" t="inlineStr">
        <is>
          <t>Small Language Models are the Future of Agentic AI</t>
        </is>
      </c>
      <c r="E2" s="2" t="n">
        <v>2025</v>
      </c>
      <c r="F2" s="3" t="inlineStr">
        <is>
          <t>arXiv preprint arXiv:2506.02153</t>
        </is>
      </c>
      <c r="G2" s="4" t="inlineStr">
        <is>
          <t>https://arxiv.org/abs/2506.02153</t>
        </is>
      </c>
      <c r="H2" s="2" t="inlineStr">
        <is>
          <t>Preprint</t>
        </is>
      </c>
      <c r="I2" s="2" t="inlineStr"/>
      <c r="J2" s="2" t="inlineStr">
        <is>
          <t>b (405 citations)</t>
        </is>
      </c>
      <c r="K2" s="2" t="inlineStr"/>
      <c r="L2" s="2" t="inlineStr">
        <is>
          <t>Yes</t>
        </is>
      </c>
      <c r="M2" s="2" t="inlineStr"/>
      <c r="N2" s="3" t="inlineStr">
        <is>
          <t>Nemotron-H</t>
        </is>
      </c>
      <c r="O2" s="3" t="inlineStr">
        <is>
          <t>N/A</t>
        </is>
      </c>
      <c r="P2" s="3" t="inlineStr">
        <is>
          <t>N/A</t>
        </is>
      </c>
      <c r="Q2" s="3" t="inlineStr">
        <is>
          <t>N/A (position paper; discusses SLMs of ~1–9B, e.g. xLAM-2-8B)</t>
        </is>
      </c>
      <c r="R2" s="2" t="inlineStr">
        <is>
          <t>Mixed</t>
        </is>
      </c>
      <c r="S2" s="2" t="inlineStr">
        <is>
          <t>Moderate; Higher</t>
        </is>
      </c>
      <c r="T2" s="2" t="inlineStr">
        <is>
          <t>Yes</t>
        </is>
      </c>
      <c r="U2" s="2" t="inlineStr">
        <is>
          <t>Agentic AI Applications</t>
        </is>
      </c>
      <c r="V2" s="3" t="inlineStr">
        <is>
          <t>N/A</t>
        </is>
      </c>
      <c r="W2" s="3" t="inlineStr">
        <is>
          <t>N/A</t>
        </is>
      </c>
      <c r="X2" s="3" t="inlineStr">
        <is>
          <t>agentic AI applications</t>
        </is>
      </c>
      <c r="Y2" s="3" t="inlineStr">
        <is>
          <t>The paper argues that small language models are more suitable and economical for agentic AI applications compared to large language models.</t>
        </is>
      </c>
      <c r="Z2" s="2" t="inlineStr">
        <is>
          <t>United States</t>
        </is>
      </c>
    </row>
    <row r="3">
      <c r="A3" s="2" t="n">
        <v>10</v>
      </c>
      <c r="B3" s="2" t="inlineStr">
        <is>
          <t>liu2024optimizing</t>
        </is>
      </c>
      <c r="C3" s="2" t="inlineStr">
        <is>
          <t>Liu et al.</t>
        </is>
      </c>
      <c r="D3" s="3" t="inlineStr">
        <is>
          <t>Optimizing RAG Techniques for Automotive Industry PDF Chatbots: A Case Study with Locally Deployed Ollama Models</t>
        </is>
      </c>
      <c r="E3" s="2" t="n">
        <v>2024</v>
      </c>
      <c r="F3" s="3" t="inlineStr">
        <is>
          <t>Proceedings of the 2024 3rd International Conference on Artificial Intelligence and Intelligent Information Processing</t>
        </is>
      </c>
      <c r="G3" s="4" t="inlineStr">
        <is>
          <t>https://arxiv.org/abs/2408.05933</t>
        </is>
      </c>
      <c r="H3" s="2" t="inlineStr">
        <is>
          <t>Peer-reviewed</t>
        </is>
      </c>
      <c r="I3" s="2" t="inlineStr"/>
      <c r="J3" s="2" t="inlineStr">
        <is>
          <t>Not applicable</t>
        </is>
      </c>
      <c r="K3" s="2" t="inlineStr"/>
      <c r="L3" s="2" t="inlineStr"/>
      <c r="M3" s="2" t="inlineStr"/>
      <c r="N3" s="3" t="n"/>
      <c r="O3" s="3" t="inlineStr">
        <is>
          <t>Llama models via Ollama; BGE embeddings and reranker (LangChain, LangGraph)</t>
        </is>
      </c>
      <c r="P3" s="3" t="inlineStr">
        <is>
          <t>Optimized local RAG pipeline and self-RAG agent</t>
        </is>
      </c>
      <c r="Q3" s="3" t="inlineStr">
        <is>
          <t>Not stated in abstract (locally deployed Ollama models)</t>
        </is>
      </c>
      <c r="R3" s="2" t="inlineStr">
        <is>
          <t>Not stated</t>
        </is>
      </c>
      <c r="S3" s="2" t="inlineStr">
        <is>
          <t>Not stated</t>
        </is>
      </c>
      <c r="T3" s="2" t="inlineStr">
        <is>
          <t>No</t>
        </is>
      </c>
      <c r="U3" s="2" t="inlineStr">
        <is>
          <t>Emerging &amp; Cross-Cutting</t>
        </is>
      </c>
      <c r="V3" s="3" t="inlineStr">
        <is>
          <t>Proprietary automotive document corpus</t>
        </is>
      </c>
      <c r="W3" s="3" t="inlineStr">
        <is>
          <t>Automotive dataset, QReCC, CoQA</t>
        </is>
      </c>
      <c r="X3" s="3" t="inlineStr">
        <is>
          <t>Offline PDF question answering (RAG) for the automotive industry</t>
        </is>
      </c>
      <c r="Y3" s="3" t="inlineStr">
        <is>
          <t>Improves context precision/recall, answer relevancy and faithfulness over naive RAG, most on automotive documents</t>
        </is>
      </c>
      <c r="Z3" s="2" t="inlineStr">
        <is>
          <t>China</t>
        </is>
      </c>
    </row>
    <row r="4">
      <c r="A4" s="2" t="n">
        <v>29</v>
      </c>
      <c r="B4" s="2" t="inlineStr">
        <is>
          <t>guo2023improving</t>
        </is>
      </c>
      <c r="C4" s="2" t="inlineStr">
        <is>
          <t>Guo et al.</t>
        </is>
      </c>
      <c r="D4" s="3" t="inlineStr">
        <is>
          <t>Improving Small Language Models on PubMedQA via Generative Data Augmentation</t>
        </is>
      </c>
      <c r="E4" s="2" t="n">
        <v>2023</v>
      </c>
      <c r="F4" s="3" t="inlineStr">
        <is>
          <t>arXiv preprint arXiv:2305.07804</t>
        </is>
      </c>
      <c r="G4" s="4" t="inlineStr">
        <is>
          <t>https://arxiv.org/abs/2305.07804</t>
        </is>
      </c>
      <c r="H4" s="2" t="inlineStr">
        <is>
          <t>Preprint</t>
        </is>
      </c>
      <c r="I4" s="2" t="inlineStr"/>
      <c r="J4" s="2" t="inlineStr">
        <is>
          <t>b (43)</t>
        </is>
      </c>
      <c r="K4" s="2" t="inlineStr"/>
      <c r="L4" s="2" t="inlineStr">
        <is>
          <t>Yes</t>
        </is>
      </c>
      <c r="M4" s="2" t="inlineStr"/>
      <c r="N4" s="3" t="inlineStr">
        <is>
          <t>PubMedQA-SLM</t>
        </is>
      </c>
      <c r="O4" s="3" t="inlineStr">
        <is>
          <t>GPT-4</t>
        </is>
      </c>
      <c r="P4" s="3" t="inlineStr">
        <is>
          <t>N/A</t>
        </is>
      </c>
      <c r="Q4" s="3" t="inlineStr">
        <is>
          <t>1.6B</t>
        </is>
      </c>
      <c r="R4" s="5" t="inlineStr">
        <is>
          <t>Moderate</t>
        </is>
      </c>
      <c r="S4" s="2" t="inlineStr">
        <is>
          <t>Moderate</t>
        </is>
      </c>
      <c r="T4" s="2" t="inlineStr">
        <is>
          <t>No</t>
        </is>
      </c>
      <c r="U4" s="2" t="inlineStr">
        <is>
          <t>Healthcare &amp; Biomedical</t>
        </is>
      </c>
      <c r="V4" s="3" t="inlineStr">
        <is>
          <t>PubMedQA</t>
        </is>
      </c>
      <c r="W4" s="3" t="inlineStr">
        <is>
          <t>PubMedQA</t>
        </is>
      </c>
      <c r="X4" s="3" t="inlineStr">
        <is>
          <t>medical question-answering</t>
        </is>
      </c>
      <c r="Y4" s="3" t="inlineStr">
        <is>
          <t>The paper introduces a novel method for improving small language models in the medical domain using LLM-based generative data augmentation.</t>
        </is>
      </c>
      <c r="Z4" s="2" t="inlineStr">
        <is>
          <t>United States</t>
        </is>
      </c>
    </row>
    <row r="5">
      <c r="A5" s="2" t="n">
        <v>30</v>
      </c>
      <c r="B5" s="2" t="inlineStr">
        <is>
          <t>vishwanath2024medmobile</t>
        </is>
      </c>
      <c r="C5" s="2" t="inlineStr">
        <is>
          <t>Vishwanath et al.</t>
        </is>
      </c>
      <c r="D5" s="3" t="inlineStr">
        <is>
          <t>MedMobile: A Mobile-Sized Language Model with Clinical Capabilities</t>
        </is>
      </c>
      <c r="E5" s="2" t="n">
        <v>2024</v>
      </c>
      <c r="F5" s="3" t="inlineStr">
        <is>
          <t>arXiv preprint arXiv:2410.09019</t>
        </is>
      </c>
      <c r="G5" s="4" t="inlineStr">
        <is>
          <t>https://doi.org/10.1136/bmjdhai-2025-000068</t>
        </is>
      </c>
      <c r="H5" s="2" t="inlineStr">
        <is>
          <t>Peer-reviewed</t>
        </is>
      </c>
      <c r="I5" s="2" t="inlineStr">
        <is>
          <t>Published version: BMJ Digital Health &amp; AI</t>
        </is>
      </c>
      <c r="J5" s="2" t="inlineStr">
        <is>
          <t>Not applicable</t>
        </is>
      </c>
      <c r="K5" s="2" t="inlineStr"/>
      <c r="L5" s="2" t="inlineStr"/>
      <c r="M5" s="2" t="inlineStr"/>
      <c r="N5" s="3" t="inlineStr">
        <is>
          <t>MedMobile</t>
        </is>
      </c>
      <c r="O5" s="3" t="inlineStr">
        <is>
          <t>phi-3-mini</t>
        </is>
      </c>
      <c r="P5" s="3" t="inlineStr">
        <is>
          <t>MedMobile</t>
        </is>
      </c>
      <c r="Q5" s="3" t="inlineStr">
        <is>
          <t>3.8B</t>
        </is>
      </c>
      <c r="R5" s="5" t="inlineStr">
        <is>
          <t>Moderate</t>
        </is>
      </c>
      <c r="S5" s="2" t="inlineStr">
        <is>
          <t>Moderate</t>
        </is>
      </c>
      <c r="T5" s="2" t="inlineStr">
        <is>
          <t>No</t>
        </is>
      </c>
      <c r="U5" s="2" t="inlineStr">
        <is>
          <t>Healthcare &amp; Biomedical</t>
        </is>
      </c>
      <c r="V5" s="3" t="inlineStr">
        <is>
          <t>N/A</t>
        </is>
      </c>
      <c r="W5" s="3" t="inlineStr">
        <is>
          <t>MultiMedQA, Medbullets</t>
        </is>
      </c>
      <c r="X5" s="3" t="inlineStr">
        <is>
          <t>medical Q&amp;A</t>
        </is>
      </c>
      <c r="Y5" s="3" t="inlineStr">
        <is>
          <t>Introduction of MedMobile, a 3.8 billion parameter language model optimized for mobile use in medical applications.</t>
        </is>
      </c>
      <c r="Z5" s="2" t="inlineStr">
        <is>
          <t>United States</t>
        </is>
      </c>
    </row>
    <row r="6">
      <c r="A6" s="2" t="n">
        <v>32</v>
      </c>
      <c r="B6" s="2" t="inlineStr">
        <is>
          <t>zheng2026adaptive</t>
        </is>
      </c>
      <c r="C6" s="2" t="inlineStr">
        <is>
          <t>Zheng et al.</t>
        </is>
      </c>
      <c r="D6" s="3" t="inlineStr">
        <is>
          <t>Adaptive, Privacy-Preserving Small Language Models for Multi-Task Clinical Assistance</t>
        </is>
      </c>
      <c r="E6" s="2" t="n">
        <v>2026</v>
      </c>
      <c r="F6" s="3" t="inlineStr">
        <is>
          <t>Journal of Imaging Informatics in Medicine</t>
        </is>
      </c>
      <c r="G6" s="4" t="inlineStr">
        <is>
          <t>https://mdanderson.elsevierpure.com/en/publications/adaptive-privacy-preserving-small-language-models-for-multi-task-/</t>
        </is>
      </c>
      <c r="H6" s="2" t="inlineStr">
        <is>
          <t>Peer-reviewed</t>
        </is>
      </c>
      <c r="I6" s="2" t="inlineStr"/>
      <c r="J6" s="2" t="inlineStr">
        <is>
          <t>Not applicable</t>
        </is>
      </c>
      <c r="K6" s="2" t="inlineStr"/>
      <c r="L6" s="2" t="inlineStr"/>
      <c r="M6" s="2" t="inlineStr"/>
      <c r="N6" s="3" t="inlineStr">
        <is>
          <t>Clinical-SLM</t>
        </is>
      </c>
      <c r="O6" s="3" t="inlineStr">
        <is>
          <t>GPT-4o, OPT-350m</t>
        </is>
      </c>
      <c r="P6" s="3" t="inlineStr">
        <is>
          <t>N/A</t>
        </is>
      </c>
      <c r="Q6" s="3" t="inlineStr">
        <is>
          <t>350M</t>
        </is>
      </c>
      <c r="R6" s="6" t="inlineStr">
        <is>
          <t>Compact</t>
        </is>
      </c>
      <c r="S6" s="2" t="inlineStr">
        <is>
          <t>Compact</t>
        </is>
      </c>
      <c r="T6" s="2" t="inlineStr">
        <is>
          <t>No</t>
        </is>
      </c>
      <c r="U6" s="2" t="inlineStr">
        <is>
          <t>Healthcare &amp; Biomedical</t>
        </is>
      </c>
      <c r="V6" s="3" t="inlineStr">
        <is>
          <t>Open-i Indiana University Chest X-ray Dataset, in-house brain MRI DICOM metadata dataset</t>
        </is>
      </c>
      <c r="W6" s="3" t="inlineStr">
        <is>
          <t>N/A</t>
        </is>
      </c>
      <c r="X6" s="3" t="inlineStr">
        <is>
          <t>medical report labeling, DICOM series description harmonization, impression generation</t>
        </is>
      </c>
      <c r="Y6" s="3" t="inlineStr">
        <is>
          <t>A multi-task SLM with LoRA fine-tuning outperforms GPT-4o on multiple clinical tasks while ensuring patient privacy.</t>
        </is>
      </c>
      <c r="Z6" s="2" t="inlineStr">
        <is>
          <t>United States</t>
        </is>
      </c>
    </row>
    <row r="7">
      <c r="A7" s="2" t="n">
        <v>33</v>
      </c>
      <c r="B7" s="2" t="inlineStr">
        <is>
          <t>thalken2023law</t>
        </is>
      </c>
      <c r="C7" s="2" t="inlineStr">
        <is>
          <t>Thalken et al.</t>
        </is>
      </c>
      <c r="D7" s="3" t="inlineStr">
        <is>
          <t>Modeling Legal Reasoning: LM Annotation at the Edge of Human Agreement</t>
        </is>
      </c>
      <c r="E7" s="2" t="n">
        <v>2023</v>
      </c>
      <c r="F7" s="3" t="inlineStr">
        <is>
          <t>Proceedings of the 2023 Conference on Empirical Methods in Natural Language Processing</t>
        </is>
      </c>
      <c r="G7" s="4" t="inlineStr">
        <is>
          <t>https://aclanthology.org/2023.emnlp-main.575</t>
        </is>
      </c>
      <c r="H7" s="2" t="inlineStr">
        <is>
          <t>Peer-reviewed</t>
        </is>
      </c>
      <c r="I7" s="2" t="inlineStr"/>
      <c r="J7" s="2" t="inlineStr">
        <is>
          <t>Not applicable</t>
        </is>
      </c>
      <c r="K7" s="2" t="inlineStr"/>
      <c r="L7" s="2" t="inlineStr"/>
      <c r="M7" s="2" t="inlineStr"/>
      <c r="N7" s="3" t="inlineStr">
        <is>
          <t>LEGAL-BERT</t>
        </is>
      </c>
      <c r="O7" s="3" t="inlineStr">
        <is>
          <t>LEGAL-BERT</t>
        </is>
      </c>
      <c r="P7" s="3" t="inlineStr">
        <is>
          <t>N/A</t>
        </is>
      </c>
      <c r="Q7" s="3" t="inlineStr">
        <is>
          <t>Legal-BERT (110M); Llama-2-Chat 7B as comparator</t>
        </is>
      </c>
      <c r="R7" s="6" t="inlineStr">
        <is>
          <t>Compact</t>
        </is>
      </c>
      <c r="S7" s="2" t="inlineStr">
        <is>
          <t>Compact</t>
        </is>
      </c>
      <c r="T7" s="2" t="inlineStr">
        <is>
          <t>No</t>
        </is>
      </c>
      <c r="U7" s="2" t="inlineStr">
        <is>
          <t>Law &amp; Finance</t>
        </is>
      </c>
      <c r="V7" s="3" t="inlineStr">
        <is>
          <t>Annotated dataset of historical United States Supreme Court opinions</t>
        </is>
      </c>
      <c r="W7" s="3" t="inlineStr">
        <is>
          <t>N/A</t>
        </is>
      </c>
      <c r="X7" s="3" t="inlineStr">
        <is>
          <t>document classification, legal reasoning classification</t>
        </is>
      </c>
      <c r="Y7" s="3" t="inlineStr">
        <is>
          <t>The paper develops a new dataset of domain-expert annotations and demonstrates that fine-tuning models significantly improves performance on complex legal reasoning tasks.</t>
        </is>
      </c>
      <c r="Z7" s="2" t="inlineStr">
        <is>
          <t>United States</t>
        </is>
      </c>
    </row>
    <row r="8">
      <c r="A8" s="2" t="n">
        <v>34</v>
      </c>
      <c r="B8" s="2" t="inlineStr">
        <is>
          <t>harsha2026synthesizing</t>
        </is>
      </c>
      <c r="C8" s="2" t="inlineStr">
        <is>
          <t>Harsha et al.</t>
        </is>
      </c>
      <c r="D8" s="3" t="inlineStr">
        <is>
          <t>Synthesizing Question Answering Data from Financial Documents: An End-to-End Multi-Agent Approach</t>
        </is>
      </c>
      <c r="E8" s="2" t="n">
        <v>2026</v>
      </c>
      <c r="F8" s="3" t="inlineStr">
        <is>
          <t>Proceedings of the 19th Conference of the European Chapter of the Association for Computational Linguistics (Volume 5: Industry Track)</t>
        </is>
      </c>
      <c r="G8" s="4" t="inlineStr">
        <is>
          <t>https://aclanthology.org/2026.eacl-industry.51</t>
        </is>
      </c>
      <c r="H8" s="2" t="inlineStr">
        <is>
          <t>Peer-reviewed</t>
        </is>
      </c>
      <c r="I8" s="2" t="inlineStr"/>
      <c r="J8" s="2" t="inlineStr">
        <is>
          <t>Not applicable</t>
        </is>
      </c>
      <c r="K8" s="2" t="inlineStr"/>
      <c r="L8" s="2" t="inlineStr"/>
      <c r="M8" s="2" t="inlineStr"/>
      <c r="N8" s="3" t="inlineStr">
        <is>
          <t>Financial-QA</t>
        </is>
      </c>
      <c r="O8" s="3" t="inlineStr">
        <is>
          <t>phi-3-mini,smollm-1.7b,smollm-360m</t>
        </is>
      </c>
      <c r="P8" s="3" t="inlineStr">
        <is>
          <t>N/A</t>
        </is>
      </c>
      <c r="Q8" s="3" t="inlineStr">
        <is>
          <t>360M, 1.7B (SmolLM2)</t>
        </is>
      </c>
      <c r="R8" s="5" t="inlineStr">
        <is>
          <t>Moderate</t>
        </is>
      </c>
      <c r="S8" s="2" t="inlineStr">
        <is>
          <t>Compact; Moderate</t>
        </is>
      </c>
      <c r="T8" s="2" t="inlineStr">
        <is>
          <t>No</t>
        </is>
      </c>
      <c r="U8" s="2" t="inlineStr">
        <is>
          <t>Law &amp; Finance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question answering, numerical reasoning</t>
        </is>
      </c>
      <c r="Y8" s="3" t="inlineStr">
        <is>
          <t>Development of a modular, scalable end-to-end agentic pipeline for generating QA pairs from financial documents.</t>
        </is>
      </c>
      <c r="Z8" s="2" t="inlineStr">
        <is>
          <t>India</t>
        </is>
      </c>
    </row>
    <row r="9">
      <c r="A9" s="2" t="n">
        <v>36</v>
      </c>
      <c r="B9" s="2" t="inlineStr">
        <is>
          <t>aixcoder</t>
        </is>
      </c>
      <c r="C9" s="2" t="inlineStr">
        <is>
          <t>Jiang et al.</t>
        </is>
      </c>
      <c r="D9" s="3" t="inlineStr">
        <is>
          <t>aiXcoder-7B: A Lightweight and Effective Large Language Model for Code Processing</t>
        </is>
      </c>
      <c r="E9" s="2" t="n">
        <v>2025</v>
      </c>
      <c r="F9" s="3" t="inlineStr">
        <is>
          <t>2025 IEEE/ACM 47th International Conference on Software Engineering: Software Engineering in Practice (ICSE-SEIP)</t>
        </is>
      </c>
      <c r="G9" s="4" t="inlineStr">
        <is>
          <t>https://arxiv.org/abs/2410.13187</t>
        </is>
      </c>
      <c r="H9" s="2" t="inlineStr">
        <is>
          <t>Peer-reviewed</t>
        </is>
      </c>
      <c r="I9" s="2" t="inlineStr"/>
      <c r="J9" s="2" t="inlineStr">
        <is>
          <t>Not applicable</t>
        </is>
      </c>
      <c r="K9" s="2" t="inlineStr"/>
      <c r="L9" s="2" t="inlineStr"/>
      <c r="M9" s="2" t="inlineStr"/>
      <c r="N9" s="3" t="inlineStr">
        <is>
          <t>aiXcoder-7B</t>
        </is>
      </c>
      <c r="O9" s="3" t="inlineStr">
        <is>
          <t>N/A</t>
        </is>
      </c>
      <c r="P9" s="3" t="inlineStr">
        <is>
          <t>aiXcoder-7B</t>
        </is>
      </c>
      <c r="Q9" s="3" t="inlineStr">
        <is>
          <t>7B</t>
        </is>
      </c>
      <c r="R9" s="7" t="inlineStr">
        <is>
          <t>Higher</t>
        </is>
      </c>
      <c r="S9" s="2" t="inlineStr">
        <is>
          <t>Higher</t>
        </is>
      </c>
      <c r="T9" s="2" t="inlineStr">
        <is>
          <t>Yes</t>
        </is>
      </c>
      <c r="U9" s="2" t="inlineStr">
        <is>
          <t>Coding &amp; Software Eng.</t>
        </is>
      </c>
      <c r="V9" s="3" t="inlineStr">
        <is>
          <t>1.2 trillion unique tokens</t>
        </is>
      </c>
      <c r="W9" s="3" t="inlineStr">
        <is>
          <t>five popular code completion benchmarks, a new benchmark collected by this paper</t>
        </is>
      </c>
      <c r="X9" s="3" t="inlineStr">
        <is>
          <t>code completion</t>
        </is>
      </c>
      <c r="Y9" s="3" t="inlineStr">
        <is>
          <t>The paper presents aiXcoder-7B, a lightweight LLM for code completion that achieves high accuracy with a smaller model size.</t>
        </is>
      </c>
      <c r="Z9" s="2" t="inlineStr">
        <is>
          <t>China</t>
        </is>
      </c>
    </row>
    <row r="10">
      <c r="A10" s="2" t="n">
        <v>37</v>
      </c>
      <c r="B10" s="2" t="inlineStr">
        <is>
          <t>joshi2024flame</t>
        </is>
      </c>
      <c r="C10" s="2" t="inlineStr">
        <is>
          <t>Joshi et al.</t>
        </is>
      </c>
      <c r="D10" s="3" t="inlineStr">
        <is>
          <t>FLAME: A Small Language Model for Spreadsheet Formulas</t>
        </is>
      </c>
      <c r="E10" s="2" t="n">
        <v>2024</v>
      </c>
      <c r="F10" s="3" t="inlineStr">
        <is>
          <t>Proceedings of the AAAI Conference on Artificial Intelligence</t>
        </is>
      </c>
      <c r="G10" s="4" t="inlineStr">
        <is>
          <t>https://ojs.aaai.org/index.php/AAAI/article/view/29197</t>
        </is>
      </c>
      <c r="H10" s="2" t="inlineStr">
        <is>
          <t>Peer-reviewed</t>
        </is>
      </c>
      <c r="I10" s="2" t="inlineStr"/>
      <c r="J10" s="2" t="inlineStr">
        <is>
          <t>Not applicable</t>
        </is>
      </c>
      <c r="K10" s="2" t="inlineStr"/>
      <c r="L10" s="2" t="inlineStr"/>
      <c r="M10" s="2" t="inlineStr"/>
      <c r="N10" s="3" t="inlineStr">
        <is>
          <t>FLAME</t>
        </is>
      </c>
      <c r="O10" s="3" t="inlineStr">
        <is>
          <t>T5-small</t>
        </is>
      </c>
      <c r="P10" s="3" t="inlineStr">
        <is>
          <t>FLAME</t>
        </is>
      </c>
      <c r="Q10" s="3" t="inlineStr">
        <is>
          <t>60M</t>
        </is>
      </c>
      <c r="R10" s="8" t="inlineStr">
        <is>
          <t>Lightweight</t>
        </is>
      </c>
      <c r="S10" s="2" t="inlineStr">
        <is>
          <t>Lightweight</t>
        </is>
      </c>
      <c r="T10" s="2" t="inlineStr">
        <is>
          <t>No</t>
        </is>
      </c>
      <c r="U10" s="2" t="inlineStr">
        <is>
          <t>Coding &amp; Software Eng.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formula repair, formula completion, formula retrieval</t>
        </is>
      </c>
      <c r="Y10" s="3" t="inlineStr">
        <is>
          <t>FLAME is a transformer-based model trained exclusively on Excel formulas that achieves competitive performance while being substantially smaller than existing models.</t>
        </is>
      </c>
      <c r="Z10" s="2" t="inlineStr">
        <is>
          <t>United States</t>
        </is>
      </c>
    </row>
    <row r="11">
      <c r="A11" s="2" t="n">
        <v>38</v>
      </c>
      <c r="B11" s="2" t="inlineStr">
        <is>
          <t>COTTON</t>
        </is>
      </c>
      <c r="C11" s="2" t="inlineStr">
        <is>
          <t>Yang et al.</t>
        </is>
      </c>
      <c r="D11" s="3" t="inlineStr">
        <is>
          <t>Chain-of-Thought in Neural Code Generation: From and For Lightweight Language Models</t>
        </is>
      </c>
      <c r="E11" s="2" t="n">
        <v>2024</v>
      </c>
      <c r="F11" s="3" t="inlineStr">
        <is>
          <t>IEEE Transactions on Software Engineering</t>
        </is>
      </c>
      <c r="G11" s="4" t="inlineStr">
        <is>
          <t>https://arxiv.org/abs/2312.05562</t>
        </is>
      </c>
      <c r="H11" s="2" t="inlineStr">
        <is>
          <t>Peer-reviewed</t>
        </is>
      </c>
      <c r="I11" s="2" t="inlineStr"/>
      <c r="J11" s="2" t="inlineStr">
        <is>
          <t>Not applicable</t>
        </is>
      </c>
      <c r="K11" s="2" t="inlineStr"/>
      <c r="L11" s="2" t="inlineStr"/>
      <c r="M11" s="2" t="inlineStr"/>
      <c r="N11" s="3" t="inlineStr">
        <is>
          <t>COTTON</t>
        </is>
      </c>
      <c r="O11" s="3" t="inlineStr">
        <is>
          <t>GPT4, ChatGLM, Gemini, gpt-3.5-turbo</t>
        </is>
      </c>
      <c r="P11" s="3" t="inlineStr">
        <is>
          <t>COTTON</t>
        </is>
      </c>
      <c r="Q11" s="3" t="inlineStr">
        <is>
          <t>CodeT5+ 6B and other &lt;10B ℓLMs</t>
        </is>
      </c>
      <c r="R11" s="5" t="inlineStr">
        <is>
          <t>Moderate</t>
        </is>
      </c>
      <c r="S11" s="2" t="inlineStr">
        <is>
          <t>Moderate</t>
        </is>
      </c>
      <c r="T11" s="2" t="inlineStr">
        <is>
          <t>No</t>
        </is>
      </c>
      <c r="U11" s="2" t="inlineStr">
        <is>
          <t>Coding &amp; Software Eng.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code generation</t>
        </is>
      </c>
      <c r="Y11" s="3" t="inlineStr">
        <is>
          <t>The study presents COTTON, a novel approach that leverages lightweight language models to automatically generate Chain of Thought for improved code generation.</t>
        </is>
      </c>
      <c r="Z11" s="2" t="inlineStr">
        <is>
          <t>China</t>
        </is>
      </c>
    </row>
    <row r="12">
      <c r="A12" s="2" t="n">
        <v>39</v>
      </c>
      <c r="B12" s="2" t="inlineStr">
        <is>
          <t>duan2023perfrl</t>
        </is>
      </c>
      <c r="C12" s="2" t="inlineStr">
        <is>
          <t>Duan et al.</t>
        </is>
      </c>
      <c r="D12" s="3" t="inlineStr">
        <is>
          <t>PerfRL: A Small Language Model Framework for Efficient Code Optimization</t>
        </is>
      </c>
      <c r="E12" s="2" t="n">
        <v>2023</v>
      </c>
      <c r="F12" s="3" t="inlineStr">
        <is>
          <t>arXiv preprint arXiv:2312.05657</t>
        </is>
      </c>
      <c r="G12" s="4" t="inlineStr">
        <is>
          <t>https://arxiv.org/abs/2312.05657</t>
        </is>
      </c>
      <c r="H12" s="2" t="inlineStr">
        <is>
          <t>Preprint</t>
        </is>
      </c>
      <c r="I12" s="2" t="inlineStr"/>
      <c r="J12" s="2" t="inlineStr">
        <is>
          <t>b (10)</t>
        </is>
      </c>
      <c r="K12" s="2" t="inlineStr"/>
      <c r="L12" s="2" t="inlineStr">
        <is>
          <t>Yes</t>
        </is>
      </c>
      <c r="M12" s="2" t="inlineStr"/>
      <c r="N12" s="3" t="inlineStr">
        <is>
          <t>PerfRL</t>
        </is>
      </c>
      <c r="O12" s="3" t="inlineStr">
        <is>
          <t>CodeT5</t>
        </is>
      </c>
      <c r="P12" s="3" t="inlineStr">
        <is>
          <t>PerfRL</t>
        </is>
      </c>
      <c r="Q12" s="3" t="inlineStr">
        <is>
          <t>60M (CodeT5)</t>
        </is>
      </c>
      <c r="R12" s="8" t="inlineStr">
        <is>
          <t>Lightweight</t>
        </is>
      </c>
      <c r="S12" s="2" t="inlineStr">
        <is>
          <t>Lightweight</t>
        </is>
      </c>
      <c r="T12" s="2" t="inlineStr">
        <is>
          <t>No</t>
        </is>
      </c>
      <c r="U12" s="2" t="inlineStr">
        <is>
          <t>Coding &amp; Software Eng.</t>
        </is>
      </c>
      <c r="V12" s="3" t="inlineStr">
        <is>
          <t>PIE</t>
        </is>
      </c>
      <c r="W12" s="3" t="inlineStr">
        <is>
          <t>N/A</t>
        </is>
      </c>
      <c r="X12" s="3" t="inlineStr">
        <is>
          <t>code optimization</t>
        </is>
      </c>
      <c r="Y12" s="3" t="inlineStr">
        <is>
          <t>Introduction of PerfRL, a framework leveraging small language models and reinforcement learning for efficient code optimization.</t>
        </is>
      </c>
      <c r="Z12" s="2" t="inlineStr">
        <is>
          <t>United States</t>
        </is>
      </c>
    </row>
    <row r="13">
      <c r="A13" s="2" t="n">
        <v>40</v>
      </c>
      <c r="B13" s="2" t="inlineStr">
        <is>
          <t>marton2026investigating</t>
        </is>
      </c>
      <c r="C13" s="2" t="inlineStr">
        <is>
          <t>Marton et al.</t>
        </is>
      </c>
      <c r="D13" s="3" t="inlineStr">
        <is>
          <t>Investigating the Refactoring Capabilities of Small Open-Weight Language Models</t>
        </is>
      </c>
      <c r="E13" s="2" t="n">
        <v>2026</v>
      </c>
      <c r="F13" s="3" t="inlineStr">
        <is>
          <t>Software</t>
        </is>
      </c>
      <c r="G13" s="4" t="inlineStr">
        <is>
          <t>https://doi.org/10.3390/software5020019</t>
        </is>
      </c>
      <c r="H13" s="2" t="inlineStr">
        <is>
          <t>Peer-reviewed</t>
        </is>
      </c>
      <c r="I13" s="2" t="inlineStr"/>
      <c r="J13" s="2" t="inlineStr">
        <is>
          <t>Not applicable</t>
        </is>
      </c>
      <c r="K13" s="2" t="inlineStr"/>
      <c r="L13" s="2" t="inlineStr"/>
      <c r="M13" s="2" t="inlineStr"/>
      <c r="N13" s="3" t="inlineStr">
        <is>
          <t>SLM-Refactoring</t>
        </is>
      </c>
      <c r="O13" s="3" t="inlineStr">
        <is>
          <t>N/A</t>
        </is>
      </c>
      <c r="P13" s="3" t="inlineStr">
        <is>
          <t>N/A</t>
        </is>
      </c>
      <c r="Q13" s="3" t="inlineStr">
        <is>
          <t>0.5B, 8B</t>
        </is>
      </c>
      <c r="R13" s="7" t="inlineStr">
        <is>
          <t>Higher</t>
        </is>
      </c>
      <c r="S13" s="2" t="inlineStr">
        <is>
          <t>Compact; Higher</t>
        </is>
      </c>
      <c r="T13" s="2" t="inlineStr">
        <is>
          <t>Yes</t>
        </is>
      </c>
      <c r="U13" s="2" t="inlineStr">
        <is>
          <t>Coding &amp; Software Eng.</t>
        </is>
      </c>
      <c r="V13" s="3" t="inlineStr">
        <is>
          <t>N/A</t>
        </is>
      </c>
      <c r="W13" s="3" t="inlineStr">
        <is>
          <t>3,453 Python programs</t>
        </is>
      </c>
      <c r="X13" s="3" t="inlineStr">
        <is>
          <t>refactoring</t>
        </is>
      </c>
      <c r="Y13" s="3" t="inlineStr">
        <is>
          <t>This paper analyzes the refactoring capabilities of small open-weight language models, focusing on behavior preservation and code quality improvement.</t>
        </is>
      </c>
      <c r="Z13" s="2" t="inlineStr">
        <is>
          <t>Hungary</t>
        </is>
      </c>
    </row>
    <row r="14">
      <c r="A14" s="2" t="n">
        <v>41</v>
      </c>
      <c r="B14" s="2" t="inlineStr">
        <is>
          <t>MMhasan2026</t>
        </is>
      </c>
      <c r="C14" s="2" t="inlineStr">
        <is>
          <t>Hasan et al.</t>
        </is>
      </c>
      <c r="D14" s="3" t="inlineStr">
        <is>
          <t>Assessing Small Language Models for Code Generation: An Empirical Study with Benchmarks</t>
        </is>
      </c>
      <c r="E14" s="2" t="n">
        <v>2026</v>
      </c>
      <c r="F14" s="3" t="inlineStr">
        <is>
          <t>Journal of Systems and Software</t>
        </is>
      </c>
      <c r="G14" s="4" t="inlineStr">
        <is>
          <t>https://arxiv.org/abs/2507.03160</t>
        </is>
      </c>
      <c r="H14" s="2" t="inlineStr">
        <is>
          <t>Peer-reviewed</t>
        </is>
      </c>
      <c r="I14" s="2" t="inlineStr"/>
      <c r="J14" s="2" t="inlineStr">
        <is>
          <t>Not applicable</t>
        </is>
      </c>
      <c r="K14" s="2" t="inlineStr"/>
      <c r="L14" s="2" t="inlineStr"/>
      <c r="M14" s="2" t="inlineStr"/>
      <c r="N14" s="3" t="inlineStr">
        <is>
          <t>Code-Gen Study</t>
        </is>
      </c>
      <c r="O14" s="3" t="inlineStr">
        <is>
          <t>20 open-source SLMs</t>
        </is>
      </c>
      <c r="P14" s="3" t="inlineStr">
        <is>
          <t>N/A</t>
        </is>
      </c>
      <c r="Q14" s="3" t="inlineStr">
        <is>
          <t>0.4B to 10B</t>
        </is>
      </c>
      <c r="R14" s="7" t="inlineStr">
        <is>
          <t>Higher</t>
        </is>
      </c>
      <c r="S14" s="2" t="inlineStr">
        <is>
          <t>Compact; Moderate; Higher</t>
        </is>
      </c>
      <c r="T14" s="2" t="inlineStr">
        <is>
          <t>Yes</t>
        </is>
      </c>
      <c r="U14" s="2" t="inlineStr">
        <is>
          <t>Coding &amp; Software Eng.</t>
        </is>
      </c>
      <c r="V14" s="3" t="inlineStr">
        <is>
          <t>N/A</t>
        </is>
      </c>
      <c r="W14" s="3" t="inlineStr">
        <is>
          <t>HumanEval, MBPP, Mercury, HumanEvalPack, CodeXGLUE</t>
        </is>
      </c>
      <c r="X14" s="3" t="inlineStr">
        <is>
          <t>code generation</t>
        </is>
      </c>
      <c r="Y14" s="3" t="inlineStr">
        <is>
          <t>This study presents a comprehensive empirical evaluation of 20 open-source SLMs on diverse code-related benchmarks.</t>
        </is>
      </c>
      <c r="Z14" s="2" t="inlineStr">
        <is>
          <t>Finland</t>
        </is>
      </c>
    </row>
    <row r="15">
      <c r="A15" s="2" t="n">
        <v>42</v>
      </c>
      <c r="B15" s="2" t="inlineStr">
        <is>
          <t>wu2024datagpt</t>
        </is>
      </c>
      <c r="C15" s="2" t="inlineStr">
        <is>
          <t>Wu et al.</t>
        </is>
      </c>
      <c r="D15" s="3" t="inlineStr">
        <is>
          <t>DataGpt-SQL-7B: An Open-Source Language Model for Text-to-SQL</t>
        </is>
      </c>
      <c r="E15" s="2" t="n">
        <v>2024</v>
      </c>
      <c r="F15" s="3" t="inlineStr">
        <is>
          <t>arXiv preprint arXiv:2409.15985</t>
        </is>
      </c>
      <c r="G15" s="4" t="inlineStr">
        <is>
          <t>https://arxiv.org/abs/2409.15985</t>
        </is>
      </c>
      <c r="H15" s="2" t="inlineStr">
        <is>
          <t>Preprint</t>
        </is>
      </c>
      <c r="I15" s="2" t="inlineStr"/>
      <c r="J15" s="2" t="inlineStr">
        <is>
          <t>b (12)</t>
        </is>
      </c>
      <c r="K15" s="2" t="inlineStr"/>
      <c r="L15" s="2" t="inlineStr">
        <is>
          <t>Yes</t>
        </is>
      </c>
      <c r="M15" s="2" t="inlineStr"/>
      <c r="N15" s="3" t="inlineStr">
        <is>
          <t>DataGpt-SQL-7B</t>
        </is>
      </c>
      <c r="O15" s="3" t="inlineStr">
        <is>
          <t>N/A</t>
        </is>
      </c>
      <c r="P15" s="3" t="inlineStr">
        <is>
          <t>DataGpt-sql</t>
        </is>
      </c>
      <c r="Q15" s="3" t="inlineStr">
        <is>
          <t>7B</t>
        </is>
      </c>
      <c r="R15" s="7" t="inlineStr">
        <is>
          <t>Higher</t>
        </is>
      </c>
      <c r="S15" s="2" t="inlineStr">
        <is>
          <t>Higher</t>
        </is>
      </c>
      <c r="T15" s="2" t="inlineStr">
        <is>
          <t>Yes</t>
        </is>
      </c>
      <c r="U15" s="2" t="inlineStr">
        <is>
          <t>Coding &amp; Software Eng.</t>
        </is>
      </c>
      <c r="V15" s="3" t="inlineStr">
        <is>
          <t>N/A</t>
        </is>
      </c>
      <c r="W15" s="3" t="inlineStr">
        <is>
          <t>spider-dev</t>
        </is>
      </c>
      <c r="X15" s="3" t="inlineStr">
        <is>
          <t>text-to-SQL</t>
        </is>
      </c>
      <c r="Y15" s="3" t="inlineStr">
        <is>
          <t>The paper presents DataGpt-sql, a fine-tuned model for translating natural language queries into SQL commands with high accuracy.</t>
        </is>
      </c>
      <c r="Z15" s="2" t="inlineStr">
        <is>
          <t>China</t>
        </is>
      </c>
    </row>
    <row r="16">
      <c r="A16" s="2" t="n">
        <v>43</v>
      </c>
      <c r="B16" s="2" t="inlineStr">
        <is>
          <t>readerlmv2</t>
        </is>
      </c>
      <c r="C16" s="2" t="inlineStr">
        <is>
          <t>Wang et al.</t>
        </is>
      </c>
      <c r="D16" s="3" t="inlineStr">
        <is>
          <t>Readerlm-v2: Small language model for HTML to markdown and JSON</t>
        </is>
      </c>
      <c r="E16" s="2" t="n">
        <v>2025</v>
      </c>
      <c r="F16" s="3" t="inlineStr">
        <is>
          <t>arXiv preprint arXiv:2503.01151</t>
        </is>
      </c>
      <c r="G16" s="4" t="inlineStr">
        <is>
          <t>https://arxiv.org/abs/2503.01151</t>
        </is>
      </c>
      <c r="H16" s="2" t="inlineStr">
        <is>
          <t>Preprint</t>
        </is>
      </c>
      <c r="I16" s="2" t="inlineStr"/>
      <c r="J16" s="2" t="inlineStr">
        <is>
          <t>b (17); c (released model)</t>
        </is>
      </c>
      <c r="K16" s="2" t="inlineStr"/>
      <c r="L16" s="2" t="inlineStr">
        <is>
          <t>Yes</t>
        </is>
      </c>
      <c r="M16" s="2" t="inlineStr">
        <is>
          <t>Yes</t>
        </is>
      </c>
      <c r="N16" s="3" t="inlineStr">
        <is>
          <t>ReaderLM-v2</t>
        </is>
      </c>
      <c r="O16" s="3" t="inlineStr">
        <is>
          <t>Qwen2.5</t>
        </is>
      </c>
      <c r="P16" s="3" t="inlineStr">
        <is>
          <t>ReaderLM-v2</t>
        </is>
      </c>
      <c r="Q16" s="3" t="inlineStr">
        <is>
          <t>1.5B</t>
        </is>
      </c>
      <c r="R16" s="5" t="inlineStr">
        <is>
          <t>Moderate</t>
        </is>
      </c>
      <c r="S16" s="2" t="inlineStr">
        <is>
          <t>Moderate</t>
        </is>
      </c>
      <c r="T16" s="2" t="inlineStr">
        <is>
          <t>No</t>
        </is>
      </c>
      <c r="U16" s="2" t="inlineStr">
        <is>
          <t>Coding &amp; Software Eng.</t>
        </is>
      </c>
      <c r="V16" s="3" t="inlineStr">
        <is>
          <t>N/A</t>
        </is>
      </c>
      <c r="W16" s="3" t="inlineStr">
        <is>
          <t>N/A</t>
        </is>
      </c>
      <c r="X16" s="3" t="inlineStr">
        <is>
          <t>structured content extraction</t>
        </is>
      </c>
      <c r="Y16" s="3" t="inlineStr">
        <is>
          <t>Introduction of a novel three-stage data synthesis pipeline and a comprehensive training strategy for structured content extraction.</t>
        </is>
      </c>
      <c r="Z16" s="2" t="inlineStr">
        <is>
          <t>Germany</t>
        </is>
      </c>
    </row>
    <row r="17">
      <c r="A17" s="2" t="n">
        <v>44</v>
      </c>
      <c r="B17" s="2" t="inlineStr">
        <is>
          <t>tinyrs</t>
        </is>
      </c>
      <c r="C17" s="2" t="inlineStr">
        <is>
          <t>Koksal et al.</t>
        </is>
      </c>
      <c r="D17" s="3" t="inlineStr">
        <is>
          <t>TinyRS-R1: Compact Vision Language Model for Remote Sensing</t>
        </is>
      </c>
      <c r="E17" s="2" t="n">
        <v>2025</v>
      </c>
      <c r="F17" s="3" t="inlineStr">
        <is>
          <t>IEEE Geoscience and Remote Sensing Letters</t>
        </is>
      </c>
      <c r="G17" s="4" t="inlineStr">
        <is>
          <t>https://doi.org/10.1109/LGRS.2025.3562290</t>
        </is>
      </c>
      <c r="H17" s="2" t="inlineStr">
        <is>
          <t>Peer-reviewed</t>
        </is>
      </c>
      <c r="I17" s="2" t="inlineStr"/>
      <c r="J17" s="2" t="inlineStr">
        <is>
          <t>Not applicable</t>
        </is>
      </c>
      <c r="K17" s="2" t="inlineStr"/>
      <c r="L17" s="2" t="inlineStr"/>
      <c r="M17" s="2" t="inlineStr"/>
      <c r="N17" s="3" t="inlineStr">
        <is>
          <t>TinyRS</t>
        </is>
      </c>
      <c r="O17" s="3" t="inlineStr">
        <is>
          <t>Qwen2-VL</t>
        </is>
      </c>
      <c r="P17" s="3" t="inlineStr">
        <is>
          <t>TinyRS, TinyRS-R1</t>
        </is>
      </c>
      <c r="Q17" s="3" t="inlineStr">
        <is>
          <t>2B</t>
        </is>
      </c>
      <c r="R17" s="5" t="inlineStr">
        <is>
          <t>Moderate</t>
        </is>
      </c>
      <c r="S17" s="2" t="inlineStr">
        <is>
          <t>Moderate</t>
        </is>
      </c>
      <c r="T17" s="2" t="inlineStr">
        <is>
          <t>No</t>
        </is>
      </c>
      <c r="U17" s="2" t="inlineStr">
        <is>
          <t>Sustainability, Materials &amp; Life Sci.</t>
        </is>
      </c>
      <c r="V17" s="3" t="inlineStr">
        <is>
          <t>million-scale satellite images, VHM visual instruction dataset</t>
        </is>
      </c>
      <c r="W17" s="3" t="inlineStr">
        <is>
          <t>N/A</t>
        </is>
      </c>
      <c r="X17" s="3" t="inlineStr">
        <is>
          <t>classification, VQA, grounding, open-ended QA</t>
        </is>
      </c>
      <c r="Y17" s="3" t="inlineStr">
        <is>
          <t>Introduction of TinyRS and TinyRS-R1, the first domain-specialized small VLMs for remote sensing with reasoning capabilities.</t>
        </is>
      </c>
      <c r="Z17" s="2" t="inlineStr">
        <is>
          <t>Turkey</t>
        </is>
      </c>
    </row>
    <row r="18">
      <c r="A18" s="2" t="n">
        <v>45</v>
      </c>
      <c r="B18" s="2" t="inlineStr">
        <is>
          <t>alchembert</t>
        </is>
      </c>
      <c r="C18" s="2" t="inlineStr">
        <is>
          <t>Wang et al.</t>
        </is>
      </c>
      <c r="D18" s="3" t="inlineStr">
        <is>
          <t>Exploring Lightweight Language Models for Materials Informatics with AlchemBERT</t>
        </is>
      </c>
      <c r="E18" s="2" t="n">
        <v>2025</v>
      </c>
      <c r="F18" s="3" t="inlineStr">
        <is>
          <t>Cell Reports Physical Science</t>
        </is>
      </c>
      <c r="G18" s="4" t="inlineStr">
        <is>
          <t>https://doi.org/10.1016/j.xcrp.2025.102724</t>
        </is>
      </c>
      <c r="H18" s="2" t="inlineStr">
        <is>
          <t>Peer-reviewed</t>
        </is>
      </c>
      <c r="I18" s="2" t="inlineStr"/>
      <c r="J18" s="2" t="inlineStr">
        <is>
          <t>Not applicable</t>
        </is>
      </c>
      <c r="K18" s="2" t="inlineStr"/>
      <c r="L18" s="2" t="inlineStr"/>
      <c r="M18" s="2" t="inlineStr"/>
      <c r="N18" s="3" t="inlineStr">
        <is>
          <t>AlchemBERT</t>
        </is>
      </c>
      <c r="O18" s="3" t="inlineStr">
        <is>
          <t>BERT-base</t>
        </is>
      </c>
      <c r="P18" s="3" t="inlineStr">
        <is>
          <t>AlchemBERT</t>
        </is>
      </c>
      <c r="Q18" s="3" t="inlineStr">
        <is>
          <t>110M</t>
        </is>
      </c>
      <c r="R18" s="6" t="inlineStr">
        <is>
          <t>Compact</t>
        </is>
      </c>
      <c r="S18" s="2" t="inlineStr">
        <is>
          <t>Compact</t>
        </is>
      </c>
      <c r="T18" s="2" t="inlineStr">
        <is>
          <t>No</t>
        </is>
      </c>
      <c r="U18" s="2" t="inlineStr">
        <is>
          <t>Sustainability, Materials &amp; Life Sci.</t>
        </is>
      </c>
      <c r="V18" s="3" t="inlineStr">
        <is>
          <t>Matbench</t>
        </is>
      </c>
      <c r="W18" s="3" t="inlineStr">
        <is>
          <t>N/A</t>
        </is>
      </c>
      <c r="X18" s="3" t="inlineStr">
        <is>
          <t>material property prediction</t>
        </is>
      </c>
      <c r="Y18" s="3" t="inlineStr">
        <is>
          <t>Demonstrates that language models effectively represent and predict material structures, outperforming traditional approaches.</t>
        </is>
      </c>
      <c r="Z18" s="2" t="inlineStr">
        <is>
          <t>China</t>
        </is>
      </c>
    </row>
    <row r="19">
      <c r="A19" s="2" t="n">
        <v>46</v>
      </c>
      <c r="B19" s="2" t="inlineStr">
        <is>
          <t>pepbert</t>
        </is>
      </c>
      <c r="C19" s="2" t="inlineStr">
        <is>
          <t>Du et al.</t>
        </is>
      </c>
      <c r="D19" s="3" t="inlineStr">
        <is>
          <t>PepBERT: Lightweight Language Models for Bioactive Peptide Representation</t>
        </is>
      </c>
      <c r="E19" s="2" t="n">
        <v>2026</v>
      </c>
      <c r="F19" s="3" t="inlineStr">
        <is>
          <t>Future Foods</t>
        </is>
      </c>
      <c r="G19" s="4" t="inlineStr">
        <is>
          <t>https://doi.org/10.1016/j.fufo.2026.100561</t>
        </is>
      </c>
      <c r="H19" s="2" t="inlineStr">
        <is>
          <t>Peer-reviewed</t>
        </is>
      </c>
      <c r="I19" s="2" t="inlineStr"/>
      <c r="J19" s="2" t="inlineStr">
        <is>
          <t>Not applicable</t>
        </is>
      </c>
      <c r="K19" s="2" t="inlineStr"/>
      <c r="L19" s="2" t="inlineStr"/>
      <c r="M19" s="2" t="inlineStr"/>
      <c r="N19" s="3" t="inlineStr">
        <is>
          <t>PepBERT</t>
        </is>
      </c>
      <c r="O19" s="3" t="inlineStr">
        <is>
          <t>ESM-2</t>
        </is>
      </c>
      <c r="P19" s="3" t="inlineStr">
        <is>
          <t>PepBERT-large, PepBERT-small</t>
        </is>
      </c>
      <c r="Q19" s="3" t="inlineStr">
        <is>
          <t>4.9M, 1.86M</t>
        </is>
      </c>
      <c r="R19" s="8" t="inlineStr">
        <is>
          <t>Lightweight</t>
        </is>
      </c>
      <c r="S19" s="2" t="inlineStr">
        <is>
          <t>Lightweight</t>
        </is>
      </c>
      <c r="T19" s="2" t="inlineStr">
        <is>
          <t>No</t>
        </is>
      </c>
      <c r="U19" s="2" t="inlineStr">
        <is>
          <t>Sustainability, Materials &amp; Life Sci.</t>
        </is>
      </c>
      <c r="V19" s="3" t="inlineStr">
        <is>
          <t>four custom peptide datasets comprising between 1.97 and 19.2 million peptide sequences</t>
        </is>
      </c>
      <c r="W19" s="3" t="inlineStr">
        <is>
          <t>UniParc</t>
        </is>
      </c>
      <c r="X19" s="3" t="inlineStr">
        <is>
          <t>peptide prediction</t>
        </is>
      </c>
      <c r="Y19" s="3" t="inlineStr">
        <is>
          <t>PepBERT effectively captures the sequential dependencies and positional context within peptide sequences, generating expressive and generalizable peptide embeddings.</t>
        </is>
      </c>
      <c r="Z19" s="2" t="inlineStr">
        <is>
          <t>United States</t>
        </is>
      </c>
    </row>
    <row r="20">
      <c r="A20" s="2" t="n">
        <v>48</v>
      </c>
      <c r="B20" s="2" t="inlineStr">
        <is>
          <t>adavits</t>
        </is>
      </c>
      <c r="C20" s="2" t="inlineStr">
        <is>
          <t>Song et al.</t>
        </is>
      </c>
      <c r="D20" s="3" t="inlineStr">
        <is>
          <t>AdaVITS: Tiny VITS for Low Computing Resource Speaker Adaptation</t>
        </is>
      </c>
      <c r="E20" s="2" t="n">
        <v>2022</v>
      </c>
      <c r="F20" s="3" t="inlineStr">
        <is>
          <t>2022 13th International Symposium on Chinese Spoken Language Processing (ISCSLP)</t>
        </is>
      </c>
      <c r="G20" s="4" t="inlineStr">
        <is>
          <t>https://arxiv.org/abs/2206.00208</t>
        </is>
      </c>
      <c r="H20" s="2" t="inlineStr">
        <is>
          <t>Peer-reviewed</t>
        </is>
      </c>
      <c r="I20" s="2" t="inlineStr"/>
      <c r="J20" s="2" t="inlineStr">
        <is>
          <t>Not applicable</t>
        </is>
      </c>
      <c r="K20" s="2" t="inlineStr"/>
      <c r="L20" s="2" t="inlineStr"/>
      <c r="M20" s="2" t="inlineStr"/>
      <c r="N20" s="3" t="inlineStr">
        <is>
          <t>AdaVITS</t>
        </is>
      </c>
      <c r="O20" s="3" t="inlineStr">
        <is>
          <t>VITS</t>
        </is>
      </c>
      <c r="P20" s="3" t="inlineStr">
        <is>
          <t>AdaVITS</t>
        </is>
      </c>
      <c r="Q20" s="3" t="inlineStr">
        <is>
          <t>8.97M</t>
        </is>
      </c>
      <c r="R20" s="8" t="inlineStr">
        <is>
          <t>Lightweight</t>
        </is>
      </c>
      <c r="S20" s="2" t="inlineStr">
        <is>
          <t>Lightweight</t>
        </is>
      </c>
      <c r="T20" s="2" t="inlineStr">
        <is>
          <t>No</t>
        </is>
      </c>
      <c r="U20" s="2" t="inlineStr">
        <is>
          <t>Audio &amp; Speech</t>
        </is>
      </c>
      <c r="V20" s="3" t="inlineStr">
        <is>
          <t>N/A</t>
        </is>
      </c>
      <c r="W20" s="3" t="inlineStr">
        <is>
          <t>N/A</t>
        </is>
      </c>
      <c r="X20" s="3" t="inlineStr">
        <is>
          <t>speaker adaptation</t>
        </is>
      </c>
      <c r="Y20" s="3" t="inlineStr">
        <is>
          <t>The paper proposes AdaVITS, a lightweight TTS model for speaker adaptation that reduces parameters and computational complexity.</t>
        </is>
      </c>
      <c r="Z20" s="2" t="inlineStr">
        <is>
          <t>China</t>
        </is>
      </c>
    </row>
    <row r="21">
      <c r="A21" s="2" t="n">
        <v>50</v>
      </c>
      <c r="B21" s="2" t="inlineStr">
        <is>
          <t>TitaNetbyjia</t>
        </is>
      </c>
      <c r="C21" s="2" t="inlineStr">
        <is>
          <t>Jia et al.</t>
        </is>
      </c>
      <c r="D21" s="3" t="inlineStr">
        <is>
          <t>A Compact End-to-End Model with Local and Global Context for Spoken Language Identification</t>
        </is>
      </c>
      <c r="E21" s="2" t="n">
        <v>2022</v>
      </c>
      <c r="F21" s="3" t="inlineStr">
        <is>
          <t>arXiv preprint arXiv:2210.15781</t>
        </is>
      </c>
      <c r="G21" s="4" t="inlineStr">
        <is>
          <t>https://doi.org/10.21437/Interspeech.2023-2310</t>
        </is>
      </c>
      <c r="H21" s="2" t="inlineStr">
        <is>
          <t>Peer-reviewed</t>
        </is>
      </c>
      <c r="I21" s="2" t="inlineStr">
        <is>
          <t>Published version: Interspeech 2023</t>
        </is>
      </c>
      <c r="J21" s="2" t="inlineStr">
        <is>
          <t>Not applicable</t>
        </is>
      </c>
      <c r="K21" s="2" t="inlineStr"/>
      <c r="L21" s="2" t="inlineStr"/>
      <c r="M21" s="2" t="inlineStr"/>
      <c r="N21" s="3" t="inlineStr">
        <is>
          <t>TitaNet-LID</t>
        </is>
      </c>
      <c r="O21" s="3" t="inlineStr">
        <is>
          <t>ContextNet</t>
        </is>
      </c>
      <c r="P21" s="3" t="inlineStr">
        <is>
          <t>TitaNet-LID</t>
        </is>
      </c>
      <c r="Q21" s="3" t="inlineStr">
        <is>
          <t>12M–21M</t>
        </is>
      </c>
      <c r="R21" s="8" t="inlineStr">
        <is>
          <t>Lightweight</t>
        </is>
      </c>
      <c r="S21" s="2" t="inlineStr">
        <is>
          <t>Lightweight</t>
        </is>
      </c>
      <c r="T21" s="2" t="inlineStr">
        <is>
          <t>No</t>
        </is>
      </c>
      <c r="U21" s="2" t="inlineStr">
        <is>
          <t>Audio &amp; Speech</t>
        </is>
      </c>
      <c r="V21" s="3" t="inlineStr">
        <is>
          <t>V oxLingua107</t>
        </is>
      </c>
      <c r="W21" s="3" t="inlineStr">
        <is>
          <t>FLEURS</t>
        </is>
      </c>
      <c r="X21" s="3" t="inlineStr">
        <is>
          <t>spoken language identification</t>
        </is>
      </c>
      <c r="Y21" s="3" t="inlineStr">
        <is>
          <t>Introduction of TitaNet-LID, a compact model for Spoken Language Identification that captures local and global context effectively.</t>
        </is>
      </c>
      <c r="Z21" s="2" t="inlineStr">
        <is>
          <t>United States</t>
        </is>
      </c>
    </row>
    <row r="22">
      <c r="A22" s="2" t="n">
        <v>51</v>
      </c>
      <c r="B22" s="2" t="inlineStr">
        <is>
          <t>husni2023toxic</t>
        </is>
      </c>
      <c r="C22" s="2" t="inlineStr">
        <is>
          <t>Husni et al.</t>
        </is>
      </c>
      <c r="D22" s="3" t="inlineStr">
        <is>
          <t>Lightweight Toxicity Detection in Spoken Language: A Transformer-based Approach for Edge Devices</t>
        </is>
      </c>
      <c r="E22" s="2" t="n">
        <v>2023</v>
      </c>
      <c r="F22" s="3" t="inlineStr">
        <is>
          <t>arXiv preprint</t>
        </is>
      </c>
      <c r="G22" s="4" t="inlineStr">
        <is>
          <t>https://arxiv.org/abs/2304.11408</t>
        </is>
      </c>
      <c r="H22" s="2" t="inlineStr">
        <is>
          <t>Preprint</t>
        </is>
      </c>
      <c r="I22" s="2" t="inlineStr"/>
      <c r="J22" s="2" t="inlineStr">
        <is>
          <t>b (9)</t>
        </is>
      </c>
      <c r="K22" s="2" t="inlineStr"/>
      <c r="L22" s="2" t="inlineStr">
        <is>
          <t>Yes</t>
        </is>
      </c>
      <c r="M22" s="2" t="inlineStr"/>
      <c r="N22" s="3" t="inlineStr">
        <is>
          <t>Wav2Vec2-Toxicity</t>
        </is>
      </c>
      <c r="O22" s="3" t="inlineStr">
        <is>
          <t>wav2vec2.0</t>
        </is>
      </c>
      <c r="P22" s="3" t="inlineStr">
        <is>
          <t>N/A</t>
        </is>
      </c>
      <c r="Q22" s="3" t="inlineStr">
        <is>
          <t>wav2vec 2.0 base, compressed to 25.9 MB</t>
        </is>
      </c>
      <c r="R22" s="8" t="inlineStr">
        <is>
          <t>Lightweight</t>
        </is>
      </c>
      <c r="S22" s="2" t="inlineStr">
        <is>
          <t>Lightweight</t>
        </is>
      </c>
      <c r="T22" s="2" t="inlineStr">
        <is>
          <t>No</t>
        </is>
      </c>
      <c r="U22" s="2" t="inlineStr">
        <is>
          <t>Audio &amp; Speech</t>
        </is>
      </c>
      <c r="V22" s="3" t="inlineStr">
        <is>
          <t>DeToxy-B, public dataset</t>
        </is>
      </c>
      <c r="W22" s="3" t="inlineStr">
        <is>
          <t>N/A</t>
        </is>
      </c>
      <c r="X22" s="3" t="inlineStr">
        <is>
          <t>toxicity detection</t>
        </is>
      </c>
      <c r="Y22" s="3" t="inlineStr">
        <is>
          <t>The paper proposes a lightweight transformer model for toxicity detection in spoken language, optimized for edge devices.</t>
        </is>
      </c>
      <c r="Z22" s="2" t="inlineStr">
        <is>
          <t>Qatar</t>
        </is>
      </c>
    </row>
    <row r="23">
      <c r="A23" s="2" t="n">
        <v>52</v>
      </c>
      <c r="B23" s="2" t="inlineStr">
        <is>
          <t>hatetinyllm</t>
        </is>
      </c>
      <c r="C23" s="2" t="inlineStr">
        <is>
          <t>Sen et al.</t>
        </is>
      </c>
      <c r="D23" s="3" t="inlineStr">
        <is>
          <t>HateTinyLLM : Hate Speech Detection Using Tiny Large Language Models</t>
        </is>
      </c>
      <c r="E23" s="2" t="n">
        <v>2024</v>
      </c>
      <c r="F23" s="3" t="inlineStr">
        <is>
          <t>arXiv preprint arXiv:2405.01577</t>
        </is>
      </c>
      <c r="G23" s="4" t="inlineStr">
        <is>
          <t>https://arxiv.org/abs/2405.01577</t>
        </is>
      </c>
      <c r="H23" s="2" t="inlineStr">
        <is>
          <t>Preprint</t>
        </is>
      </c>
      <c r="I23" s="2" t="inlineStr"/>
      <c r="J23" s="2" t="inlineStr">
        <is>
          <t>b (12)</t>
        </is>
      </c>
      <c r="K23" s="2" t="inlineStr"/>
      <c r="L23" s="2" t="inlineStr">
        <is>
          <t>Yes</t>
        </is>
      </c>
      <c r="M23" s="2" t="inlineStr"/>
      <c r="N23" s="3" t="inlineStr">
        <is>
          <t>HateTinyLLM</t>
        </is>
      </c>
      <c r="O23" s="3" t="inlineStr">
        <is>
          <t>mixtral-7b, PY007/TinyLlama-1.1B-step-50K-105b, Microsoft/phi-2, facebook/opt-1.3b</t>
        </is>
      </c>
      <c r="P23" s="3" t="inlineStr">
        <is>
          <t>HateTinyLLM</t>
        </is>
      </c>
      <c r="Q23" s="3" t="inlineStr">
        <is>
          <t>1.1B–7B (TinyLlama-1.1B, OPT-1.3B, Phi-2, Mistral-7B)</t>
        </is>
      </c>
      <c r="R23" s="5" t="inlineStr">
        <is>
          <t>Moderate</t>
        </is>
      </c>
      <c r="S23" s="2" t="inlineStr">
        <is>
          <t>Moderate; Higher</t>
        </is>
      </c>
      <c r="T23" s="2" t="inlineStr">
        <is>
          <t>Yes</t>
        </is>
      </c>
      <c r="U23" s="2" t="inlineStr">
        <is>
          <t>Audio &amp; Speech</t>
        </is>
      </c>
      <c r="V23" s="3" t="inlineStr">
        <is>
          <t>N/A</t>
        </is>
      </c>
      <c r="W23" s="3" t="inlineStr">
        <is>
          <t>N/A</t>
        </is>
      </c>
      <c r="X23" s="3" t="inlineStr">
        <is>
          <t>hate speech detection</t>
        </is>
      </c>
      <c r="Y23" s="3" t="inlineStr">
        <is>
          <t>Introduction of HateTinyLLM, a novel framework for efficient hate speech detection using tiny large language models.</t>
        </is>
      </c>
      <c r="Z23" s="2" t="inlineStr">
        <is>
          <t>India</t>
        </is>
      </c>
    </row>
    <row r="24">
      <c r="A24" s="2" t="n">
        <v>54</v>
      </c>
      <c r="B24" s="2" t="inlineStr">
        <is>
          <t>eureka</t>
        </is>
      </c>
      <c r="C24" s="2" t="inlineStr">
        <is>
          <t>Zhang et al.</t>
        </is>
      </c>
      <c r="D24" s="3" t="inlineStr">
        <is>
          <t>Eureka-Audio: Triggering Audio Intelligence in Compact Language Models</t>
        </is>
      </c>
      <c r="E24" s="2" t="n">
        <v>2026</v>
      </c>
      <c r="F24" s="3" t="inlineStr">
        <is>
          <t>arXiv preprint arXiv:2602.13954</t>
        </is>
      </c>
      <c r="G24" s="4" t="inlineStr">
        <is>
          <t>https://arxiv.org/abs/2602.13954</t>
        </is>
      </c>
      <c r="H24" s="2" t="inlineStr">
        <is>
          <t>Preprint</t>
        </is>
      </c>
      <c r="I24" s="2" t="inlineStr"/>
      <c r="J24" s="2" t="inlineStr">
        <is>
          <t>a (code: github.com/Alittleegg/Eureka-Audio)</t>
        </is>
      </c>
      <c r="K24" s="2" t="inlineStr">
        <is>
          <t>Yes</t>
        </is>
      </c>
      <c r="L24" s="2" t="inlineStr"/>
      <c r="M24" s="2" t="inlineStr"/>
      <c r="N24" s="3" t="inlineStr">
        <is>
          <t>Eureka-Audio</t>
        </is>
      </c>
      <c r="O24" s="3" t="inlineStr">
        <is>
          <t>Qwen3-1.7B-base</t>
        </is>
      </c>
      <c r="P24" s="3" t="inlineStr">
        <is>
          <t>Eureka-Audio</t>
        </is>
      </c>
      <c r="Q24" s="3" t="inlineStr">
        <is>
          <t>1.7B</t>
        </is>
      </c>
      <c r="R24" s="5" t="inlineStr">
        <is>
          <t>Moderate</t>
        </is>
      </c>
      <c r="S24" s="2" t="inlineStr">
        <is>
          <t>Moderate</t>
        </is>
      </c>
      <c r="T24" s="2" t="inlineStr">
        <is>
          <t>No</t>
        </is>
      </c>
      <c r="U24" s="2" t="inlineStr">
        <is>
          <t>Audio &amp; Speech</t>
        </is>
      </c>
      <c r="V24" s="3" t="inlineStr">
        <is>
          <t>N/A</t>
        </is>
      </c>
      <c r="W24" s="3" t="inlineStr">
        <is>
          <t>MMAU benchmark, ASR, knowledge reasoning, safety, instruction following, paralinguistic benchmarks</t>
        </is>
      </c>
      <c r="X24" s="3" t="inlineStr">
        <is>
          <t>automatic speech recognition, audio understanding, dense audio captioning</t>
        </is>
      </c>
      <c r="Y24" s="3" t="inlineStr">
        <is>
          <t>Eureka-Audio achieves competitive performance in audio understanding with only 1.7B parameters, outperforming larger models.</t>
        </is>
      </c>
      <c r="Z24" s="2" t="inlineStr">
        <is>
          <t>China</t>
        </is>
      </c>
    </row>
    <row r="25">
      <c r="A25" s="2" t="n">
        <v>55</v>
      </c>
      <c r="B25" s="2" t="inlineStr">
        <is>
          <t>deshmukh2026mellow</t>
        </is>
      </c>
      <c r="C25" s="2" t="inlineStr">
        <is>
          <t>Deshmukh et al.</t>
        </is>
      </c>
      <c r="D25" s="3" t="inlineStr">
        <is>
          <t>Mellow: A Small Audio Language Model for Reasoning</t>
        </is>
      </c>
      <c r="E25" s="2" t="n">
        <v>2026</v>
      </c>
      <c r="F25" s="3" t="inlineStr">
        <is>
          <t>Advances in Neural Information Processing Systems</t>
        </is>
      </c>
      <c r="G25" s="4" t="inlineStr">
        <is>
          <t>https://neurips.cc/virtual/2025/poster/115468</t>
        </is>
      </c>
      <c r="H25" s="2" t="inlineStr">
        <is>
          <t>Peer-reviewed</t>
        </is>
      </c>
      <c r="I25" s="2" t="inlineStr"/>
      <c r="J25" s="2" t="inlineStr">
        <is>
          <t>Not applicable</t>
        </is>
      </c>
      <c r="K25" s="2" t="inlineStr"/>
      <c r="L25" s="2" t="inlineStr"/>
      <c r="M25" s="2" t="inlineStr"/>
      <c r="N25" s="3" t="inlineStr">
        <is>
          <t>Mellow</t>
        </is>
      </c>
      <c r="O25" s="3" t="inlineStr">
        <is>
          <t>Qwen2 Audio</t>
        </is>
      </c>
      <c r="P25" s="3" t="inlineStr">
        <is>
          <t>Mellow</t>
        </is>
      </c>
      <c r="Q25" s="3" t="inlineStr">
        <is>
          <t>167M</t>
        </is>
      </c>
      <c r="R25" s="6" t="inlineStr">
        <is>
          <t>Compact</t>
        </is>
      </c>
      <c r="S25" s="2" t="inlineStr">
        <is>
          <t>Compact</t>
        </is>
      </c>
      <c r="T25" s="2" t="inlineStr">
        <is>
          <t>No</t>
        </is>
      </c>
      <c r="U25" s="2" t="inlineStr">
        <is>
          <t>Audio &amp; Speech</t>
        </is>
      </c>
      <c r="V25" s="3" t="inlineStr">
        <is>
          <t>ReasonAQA, audio captioning datasets</t>
        </is>
      </c>
      <c r="W25" s="3" t="inlineStr">
        <is>
          <t>MMAU</t>
        </is>
      </c>
      <c r="X25" s="3" t="inlineStr">
        <is>
          <t>audio understanding, deductive reasoning, comparative reasoning</t>
        </is>
      </c>
      <c r="Y25" s="3" t="inlineStr">
        <is>
          <t>Introduction of Mellow, a small audio-language model designed for reasoning tasks, achieving state-of-the-art performance among small models.</t>
        </is>
      </c>
      <c r="Z25" s="2" t="inlineStr">
        <is>
          <t>United States</t>
        </is>
      </c>
    </row>
    <row r="26">
      <c r="A26" s="2" t="n">
        <v>56</v>
      </c>
      <c r="B26" s="2" t="inlineStr">
        <is>
          <t>PRISM</t>
        </is>
      </c>
      <c r="C26" s="2" t="inlineStr">
        <is>
          <t>Ravichandran et al.</t>
        </is>
      </c>
      <c r="D26" s="3" t="inlineStr">
        <is>
          <t>Distilling On-Device Language Models for Robot Planning with Minimal Human Intervention</t>
        </is>
      </c>
      <c r="E26" s="2" t="n">
        <v>2025</v>
      </c>
      <c r="F26" s="3" t="inlineStr">
        <is>
          <t>arXiv preprint arXiv:2506.17486</t>
        </is>
      </c>
      <c r="G26" s="4" t="inlineStr">
        <is>
          <t>https://openreview.net/forum?id=93bWCbhXJR</t>
        </is>
      </c>
      <c r="H26" s="2" t="inlineStr">
        <is>
          <t>Peer-reviewed</t>
        </is>
      </c>
      <c r="I26" s="2" t="inlineStr">
        <is>
          <t>Published version: CoRL 2025</t>
        </is>
      </c>
      <c r="J26" s="2" t="inlineStr">
        <is>
          <t>Not applicable</t>
        </is>
      </c>
      <c r="K26" s="2" t="inlineStr"/>
      <c r="L26" s="2" t="inlineStr"/>
      <c r="M26" s="2" t="inlineStr"/>
      <c r="N26" s="3" t="inlineStr">
        <is>
          <t>PRISM</t>
        </is>
      </c>
      <c r="O26" s="3" t="inlineStr">
        <is>
          <t>Llama-3.2-3B, GPT-4o</t>
        </is>
      </c>
      <c r="P26" s="3" t="inlineStr">
        <is>
          <t>PRISM</t>
        </is>
      </c>
      <c r="Q26" s="3" t="inlineStr">
        <is>
          <t>3B (Llama-3.2-3B)</t>
        </is>
      </c>
      <c r="R26" s="5" t="inlineStr">
        <is>
          <t>Moderate</t>
        </is>
      </c>
      <c r="S26" s="2" t="inlineStr">
        <is>
          <t>Moderate</t>
        </is>
      </c>
      <c r="T26" s="2" t="inlineStr">
        <is>
          <t>No</t>
        </is>
      </c>
      <c r="U26" s="2" t="inlineStr">
        <is>
          <t>Robotics &amp; Real-Time</t>
        </is>
      </c>
      <c r="V26" s="3" t="inlineStr">
        <is>
          <t>synthetic dataset</t>
        </is>
      </c>
      <c r="W26" s="3" t="inlineStr">
        <is>
          <t>N/A</t>
        </is>
      </c>
      <c r="X26" s="3" t="inlineStr">
        <is>
          <t>robot planning, mapping, exploration, manipulation, household assistance</t>
        </is>
      </c>
      <c r="Y26" s="3" t="inlineStr">
        <is>
          <t>Introduction of PRISM, a framework for distilling small language models for on-device robot planning.</t>
        </is>
      </c>
      <c r="Z26" s="2" t="inlineStr">
        <is>
          <t>United States</t>
        </is>
      </c>
    </row>
    <row r="27">
      <c r="A27" s="2" t="n">
        <v>57</v>
      </c>
      <c r="B27" s="2" t="inlineStr">
        <is>
          <t>li2024transformer</t>
        </is>
      </c>
      <c r="C27" s="2" t="inlineStr">
        <is>
          <t>Li et al.</t>
        </is>
      </c>
      <c r="D27" s="3" t="inlineStr">
        <is>
          <t>Transformer-Lite: High-Efficiency Deployment of Large Language Models on Mobile Phone GPUs</t>
        </is>
      </c>
      <c r="E27" s="2" t="n">
        <v>2024</v>
      </c>
      <c r="F27" s="3" t="inlineStr">
        <is>
          <t>arXiv preprint arXiv:2403.20041</t>
        </is>
      </c>
      <c r="G27" s="4" t="inlineStr">
        <is>
          <t>https://arxiv.org/abs/2403.20041</t>
        </is>
      </c>
      <c r="H27" s="2" t="inlineStr">
        <is>
          <t>Preprint</t>
        </is>
      </c>
      <c r="I27" s="2" t="inlineStr"/>
      <c r="J27" s="2" t="inlineStr">
        <is>
          <t>b (27)</t>
        </is>
      </c>
      <c r="K27" s="2" t="inlineStr"/>
      <c r="L27" s="2" t="inlineStr">
        <is>
          <t>Yes</t>
        </is>
      </c>
      <c r="M27" s="2" t="inlineStr"/>
      <c r="N27" s="3" t="inlineStr">
        <is>
          <t>Transformer-Lite</t>
        </is>
      </c>
      <c r="O27" s="3" t="inlineStr">
        <is>
          <t>ChatGLM2, Gemma</t>
        </is>
      </c>
      <c r="P27" s="3" t="inlineStr">
        <is>
          <t>Transformer-Lite</t>
        </is>
      </c>
      <c r="Q27" s="3" t="inlineStr">
        <is>
          <t>2B, 6B, 14B</t>
        </is>
      </c>
      <c r="R27" s="5" t="inlineStr">
        <is>
          <t>Moderate</t>
        </is>
      </c>
      <c r="S27" s="2" t="inlineStr">
        <is>
          <t>Moderate</t>
        </is>
      </c>
      <c r="T27" s="2" t="inlineStr">
        <is>
          <t>No</t>
        </is>
      </c>
      <c r="U27" s="2" t="inlineStr">
        <is>
          <t>Robotics &amp; Real-Time</t>
        </is>
      </c>
      <c r="V27" s="3" t="inlineStr">
        <is>
          <t>N/A</t>
        </is>
      </c>
      <c r="W27" s="3" t="inlineStr">
        <is>
          <t>N/A</t>
        </is>
      </c>
      <c r="X27" s="3" t="inlineStr">
        <is>
          <t>intelligent assistants, text summarization, translation, multi-modality</t>
        </is>
      </c>
      <c r="Y27" s="3" t="inlineStr">
        <is>
          <t>The paper proposes Transformer-Lite, an engine for high-efficiency deployment of LLMs on mobile GPUs, achieving significant speed improvements.</t>
        </is>
      </c>
      <c r="Z27" s="2" t="inlineStr">
        <is>
          <t>China</t>
        </is>
      </c>
    </row>
    <row r="28">
      <c r="A28" s="2" t="n">
        <v>58</v>
      </c>
      <c r="B28" s="2" t="inlineStr">
        <is>
          <t>jang2025edge</t>
        </is>
      </c>
      <c r="C28" s="2" t="inlineStr">
        <is>
          <t>Jang et al.</t>
        </is>
      </c>
      <c r="D28" s="3" t="inlineStr">
        <is>
          <t>Edge-First Language Model Inference: Models, Metrics, and Tradeoffs</t>
        </is>
      </c>
      <c r="E28" s="2" t="n">
        <v>2025</v>
      </c>
      <c r="F28" s="3" t="inlineStr">
        <is>
          <t>2025 IEEE 45th International Conference on Distributed Computing Systems Workshops (ICDCSW)</t>
        </is>
      </c>
      <c r="G28" s="4" t="inlineStr">
        <is>
          <t>https://arxiv.org/abs/2505.16508</t>
        </is>
      </c>
      <c r="H28" s="2" t="inlineStr">
        <is>
          <t>Peer-reviewed</t>
        </is>
      </c>
      <c r="I28" s="2" t="inlineStr"/>
      <c r="J28" s="2" t="inlineStr">
        <is>
          <t>Not applicable</t>
        </is>
      </c>
      <c r="K28" s="2" t="inlineStr"/>
      <c r="L28" s="2" t="inlineStr"/>
      <c r="M28" s="2" t="inlineStr"/>
      <c r="N28" s="3" t="inlineStr">
        <is>
          <t>Edge-Cloud</t>
        </is>
      </c>
      <c r="O28" s="3" t="inlineStr">
        <is>
          <t>ChatGPT-4o</t>
        </is>
      </c>
      <c r="P28" s="3" t="inlineStr">
        <is>
          <t>N/A</t>
        </is>
      </c>
      <c r="Q28" s="3" t="inlineStr">
        <is>
          <t>0.5B–3B on device (larger cloud comparators)</t>
        </is>
      </c>
      <c r="R28" s="5" t="inlineStr">
        <is>
          <t>Moderate</t>
        </is>
      </c>
      <c r="S28" s="2" t="inlineStr">
        <is>
          <t>Compact; Moderate</t>
        </is>
      </c>
      <c r="T28" s="2" t="inlineStr">
        <is>
          <t>No</t>
        </is>
      </c>
      <c r="U28" s="2" t="inlineStr">
        <is>
          <t>Robotics &amp; Real-Time</t>
        </is>
      </c>
      <c r="V28" s="3" t="inlineStr">
        <is>
          <t>N/A</t>
        </is>
      </c>
      <c r="W28" s="3" t="inlineStr">
        <is>
          <t>MMLU, GSM8K, HumanEval</t>
        </is>
      </c>
      <c r="X28" s="3" t="inlineStr">
        <is>
          <t>language comprehension, answering complex queries, arithmetic reasoning, contextual understanding, sentiment analysis, text categorization, factual retrieval, code generation</t>
        </is>
      </c>
      <c r="Y28" s="3" t="inlineStr">
        <is>
          <t>This work examines the interplay between edge and cloud deployments for Small Language Models, providing insights into performance-cost tradeoffs.</t>
        </is>
      </c>
      <c r="Z28" s="2" t="inlineStr">
        <is>
          <t>United Kingdom</t>
        </is>
      </c>
    </row>
    <row r="29">
      <c r="A29" s="2" t="n">
        <v>59</v>
      </c>
      <c r="B29" s="2" t="inlineStr">
        <is>
          <t>tian2026floe</t>
        </is>
      </c>
      <c r="C29" s="2" t="inlineStr">
        <is>
          <t>Tian et al.</t>
        </is>
      </c>
      <c r="D29" s="3" t="inlineStr">
        <is>
          <t>Floe: Federated Specialization for Real-Time LLM–SLM Inference</t>
        </is>
      </c>
      <c r="E29" s="2" t="n">
        <v>2026</v>
      </c>
      <c r="F29" s="3" t="inlineStr">
        <is>
          <t>IEEE Transactions on Parallel and Distributed Systems</t>
        </is>
      </c>
      <c r="G29" s="4" t="inlineStr">
        <is>
          <t>https://arxiv.org/abs/2602.14302</t>
        </is>
      </c>
      <c r="H29" s="2" t="inlineStr">
        <is>
          <t>Peer-reviewed</t>
        </is>
      </c>
      <c r="I29" s="2" t="inlineStr"/>
      <c r="J29" s="2" t="inlineStr">
        <is>
          <t>Not applicable</t>
        </is>
      </c>
      <c r="K29" s="2" t="inlineStr"/>
      <c r="L29" s="2" t="inlineStr"/>
      <c r="M29" s="2" t="inlineStr"/>
      <c r="N29" s="3" t="inlineStr">
        <is>
          <t>Floe</t>
        </is>
      </c>
      <c r="O29" s="3" t="inlineStr">
        <is>
          <t>LLMs, SLMs</t>
        </is>
      </c>
      <c r="P29" s="3" t="inlineStr">
        <is>
          <t>Floe</t>
        </is>
      </c>
      <c r="Q29" s="3" t="inlineStr">
        <is>
          <t>Gemma-2B, Llama-7B on device (larger cloud models)</t>
        </is>
      </c>
      <c r="R29" s="5" t="inlineStr">
        <is>
          <t>Moderate</t>
        </is>
      </c>
      <c r="S29" s="2" t="inlineStr">
        <is>
          <t>Moderate; Higher</t>
        </is>
      </c>
      <c r="T29" s="2" t="inlineStr">
        <is>
          <t>Yes</t>
        </is>
      </c>
      <c r="U29" s="2" t="inlineStr">
        <is>
          <t>Robotics &amp; Real-Time</t>
        </is>
      </c>
      <c r="V29" s="3" t="inlineStr">
        <is>
          <t>N/A</t>
        </is>
      </c>
      <c r="W29" s="3" t="inlineStr">
        <is>
          <t>N/A</t>
        </is>
      </c>
      <c r="X29" s="3" t="inlineStr">
        <is>
          <t>Federated learning, Privacy-Preserving, Edge-Cloud Collaboration</t>
        </is>
      </c>
      <c r="Y29" s="3" t="inlineStr">
        <is>
          <t>Floe enhances user privacy and personalization while improving model performance and reducing inference latency on edge devices.</t>
        </is>
      </c>
      <c r="Z29" s="2" t="inlineStr">
        <is>
          <t>China</t>
        </is>
      </c>
    </row>
    <row r="30">
      <c r="A30" s="2" t="n">
        <v>60</v>
      </c>
      <c r="B30" s="2" t="inlineStr">
        <is>
          <t>tian2025clone</t>
        </is>
      </c>
      <c r="C30" s="2" t="inlineStr">
        <is>
          <t>Tian et al.</t>
        </is>
      </c>
      <c r="D30" s="3" t="inlineStr">
        <is>
          <t>CLONE: Customizing LLMs for Efficient Latency-Aware Inference at the Edge</t>
        </is>
      </c>
      <c r="E30" s="2" t="n">
        <v>2025</v>
      </c>
      <c r="F30" s="3" t="inlineStr">
        <is>
          <t>2025 USENIX Annual Technical Conference (USENIX ATC 25)</t>
        </is>
      </c>
      <c r="G30" s="4" t="inlineStr">
        <is>
          <t>https://www.usenix.org/conference/atc25/presentation/tian</t>
        </is>
      </c>
      <c r="H30" s="2" t="inlineStr">
        <is>
          <t>Peer-reviewed</t>
        </is>
      </c>
      <c r="I30" s="2" t="inlineStr"/>
      <c r="J30" s="2" t="inlineStr">
        <is>
          <t>Not applicable</t>
        </is>
      </c>
      <c r="K30" s="2" t="inlineStr"/>
      <c r="L30" s="2" t="inlineStr"/>
      <c r="M30" s="2" t="inlineStr"/>
      <c r="N30" s="3" t="inlineStr">
        <is>
          <t>CLONE</t>
        </is>
      </c>
      <c r="O30" s="3" t="inlineStr">
        <is>
          <t>Llama-7B, GPT-3</t>
        </is>
      </c>
      <c r="P30" s="3" t="inlineStr">
        <is>
          <t>CLONE</t>
        </is>
      </c>
      <c r="Q30" s="3" t="inlineStr">
        <is>
          <t>Gemma-2B, Llama-2-7B, Vicuna-7B</t>
        </is>
      </c>
      <c r="R30" s="7" t="inlineStr">
        <is>
          <t>Higher</t>
        </is>
      </c>
      <c r="S30" s="2" t="inlineStr">
        <is>
          <t>Moderate; Higher</t>
        </is>
      </c>
      <c r="T30" s="2" t="inlineStr">
        <is>
          <t>Yes</t>
        </is>
      </c>
      <c r="U30" s="2" t="inlineStr">
        <is>
          <t>Robotics &amp; Real-Time</t>
        </is>
      </c>
      <c r="V30" s="3" t="inlineStr">
        <is>
          <t>N/A</t>
        </is>
      </c>
      <c r="W30" s="3" t="inlineStr">
        <is>
          <t>N/A</t>
        </is>
      </c>
      <c r="X30" s="3" t="inlineStr">
        <is>
          <t>inference optimization</t>
        </is>
      </c>
      <c r="Y30" s="3" t="inlineStr">
        <is>
          <t>The paper presents CLONE, an algorithm-hardware co-design for optimizing LLMs on edge devices to balance latency, energy consumption, and model accuracy.</t>
        </is>
      </c>
      <c r="Z30" s="2" t="inlineStr">
        <is>
          <t>China</t>
        </is>
      </c>
    </row>
    <row r="31">
      <c r="A31" s="2" t="n">
        <v>61</v>
      </c>
      <c r="B31" s="2" t="inlineStr">
        <is>
          <t>swahbert</t>
        </is>
      </c>
      <c r="C31" s="2" t="inlineStr">
        <is>
          <t>Martin et al.</t>
        </is>
      </c>
      <c r="D31" s="3" t="inlineStr">
        <is>
          <t>SwahBERT: Language Model of Swahili</t>
        </is>
      </c>
      <c r="E31" s="2" t="n">
        <v>2022</v>
      </c>
      <c r="F31" s="3" t="inlineStr">
        <is>
          <t>Proceedings of the 2022 Conference of the North American Chapter of the Association for Computational Linguistics: Human Language Technologies</t>
        </is>
      </c>
      <c r="G31" s="4" t="inlineStr">
        <is>
          <t>https://aclanthology.org/2022.naacl-main.23</t>
        </is>
      </c>
      <c r="H31" s="2" t="inlineStr">
        <is>
          <t>Peer-reviewed</t>
        </is>
      </c>
      <c r="I31" s="2" t="inlineStr"/>
      <c r="J31" s="2" t="inlineStr">
        <is>
          <t>Not applicable</t>
        </is>
      </c>
      <c r="K31" s="2" t="inlineStr"/>
      <c r="L31" s="2" t="inlineStr"/>
      <c r="M31" s="2" t="inlineStr"/>
      <c r="N31" s="3" t="inlineStr">
        <is>
          <t>SwahBERT</t>
        </is>
      </c>
      <c r="O31" s="3" t="inlineStr">
        <is>
          <t>multilingual BERT</t>
        </is>
      </c>
      <c r="P31" s="3" t="inlineStr">
        <is>
          <t>SwahBERT</t>
        </is>
      </c>
      <c r="Q31" s="3" t="inlineStr">
        <is>
          <t>~105M (BERT-base)</t>
        </is>
      </c>
      <c r="R31" s="6" t="inlineStr">
        <is>
          <t>Compact</t>
        </is>
      </c>
      <c r="S31" s="2" t="inlineStr">
        <is>
          <t>Compact</t>
        </is>
      </c>
      <c r="T31" s="2" t="inlineStr">
        <is>
          <t>No</t>
        </is>
      </c>
      <c r="U31" s="2" t="inlineStr">
        <is>
          <t>Natural Language Processing</t>
        </is>
      </c>
      <c r="V31" s="3" t="inlineStr">
        <is>
          <t>pre-training dataset, emotion classification dataset</t>
        </is>
      </c>
      <c r="W31" s="3" t="inlineStr">
        <is>
          <t>N/A</t>
        </is>
      </c>
      <c r="X31" s="3" t="inlineStr">
        <is>
          <t>emotion classification</t>
        </is>
      </c>
      <c r="Y31" s="3" t="inlineStr">
        <is>
          <t>Introduction of SwahBERT, a new language model for Swahili, which outperforms multilingual BERT in various tasks.</t>
        </is>
      </c>
      <c r="Z31" s="2" t="inlineStr">
        <is>
          <t>South Korea</t>
        </is>
      </c>
    </row>
    <row r="32">
      <c r="A32" s="2" t="n">
        <v>62</v>
      </c>
      <c r="B32" s="2" t="inlineStr">
        <is>
          <t>inkubalm</t>
        </is>
      </c>
      <c r="C32" s="2" t="inlineStr">
        <is>
          <t>Tonja et al.</t>
        </is>
      </c>
      <c r="D32" s="3" t="inlineStr">
        <is>
          <t>InkubaLM: A Small Language Model for Low-Resource African Languages</t>
        </is>
      </c>
      <c r="E32" s="2" t="n">
        <v>2024</v>
      </c>
      <c r="F32" s="3" t="inlineStr">
        <is>
          <t>arXiv preprint arXiv:2408.17024</t>
        </is>
      </c>
      <c r="G32" s="4" t="inlineStr">
        <is>
          <t>https://arxiv.org/abs/2408.17024</t>
        </is>
      </c>
      <c r="H32" s="2" t="inlineStr">
        <is>
          <t>Preprint</t>
        </is>
      </c>
      <c r="I32" s="2" t="inlineStr"/>
      <c r="J32" s="2" t="inlineStr">
        <is>
          <t>a, c (weights: huggingface.co/lelapa)</t>
        </is>
      </c>
      <c r="K32" s="2" t="inlineStr">
        <is>
          <t>Yes</t>
        </is>
      </c>
      <c r="L32" s="2" t="inlineStr"/>
      <c r="M32" s="2" t="inlineStr">
        <is>
          <t>Yes</t>
        </is>
      </c>
      <c r="N32" s="3" t="inlineStr">
        <is>
          <t>InkubaLM</t>
        </is>
      </c>
      <c r="O32" s="3" t="inlineStr">
        <is>
          <t>GPT-3, BERT</t>
        </is>
      </c>
      <c r="P32" s="3" t="inlineStr">
        <is>
          <t>InkubaLM</t>
        </is>
      </c>
      <c r="Q32" s="3" t="inlineStr">
        <is>
          <t>0.4B</t>
        </is>
      </c>
      <c r="R32" s="6" t="inlineStr">
        <is>
          <t>Compact</t>
        </is>
      </c>
      <c r="S32" s="2" t="inlineStr">
        <is>
          <t>Compact</t>
        </is>
      </c>
      <c r="T32" s="2" t="inlineStr">
        <is>
          <t>No</t>
        </is>
      </c>
      <c r="U32" s="2" t="inlineStr">
        <is>
          <t>Natural Language Processing</t>
        </is>
      </c>
      <c r="V32" s="3" t="inlineStr">
        <is>
          <t>monolingual dataset for 5 African languages</t>
        </is>
      </c>
      <c r="W32" s="3" t="inlineStr">
        <is>
          <t>AfriMMLU, AfriXnli</t>
        </is>
      </c>
      <c r="X32" s="3" t="inlineStr">
        <is>
          <t>machine translation, question-answering, sentiment analysis, named entity recognition, parts of speech tagging, topic classification</t>
        </is>
      </c>
      <c r="Y32" s="3" t="inlineStr">
        <is>
          <t>Introduction of InkubaLM, the first open-source small multilingual language model for African languages.</t>
        </is>
      </c>
      <c r="Z32" s="2" t="inlineStr">
        <is>
          <t>South Africa</t>
        </is>
      </c>
    </row>
    <row r="33">
      <c r="A33" s="2" t="n">
        <v>63</v>
      </c>
      <c r="B33" s="2" t="inlineStr">
        <is>
          <t>urdulm</t>
        </is>
      </c>
      <c r="C33" s="2" t="inlineStr">
        <is>
          <t>Ali et al.</t>
        </is>
      </c>
      <c r="D33" s="3" t="inlineStr">
        <is>
          <t>UrduLM: A Resource-Efficient Monolingual Urdu Language Model</t>
        </is>
      </c>
      <c r="E33" s="2" t="n">
        <v>2026</v>
      </c>
      <c r="F33" s="3" t="inlineStr">
        <is>
          <t>arXiv preprint arXiv:2601.17664</t>
        </is>
      </c>
      <c r="G33" s="4" t="inlineStr">
        <is>
          <t>https://arxiv.org/abs/2601.17664</t>
        </is>
      </c>
      <c r="H33" s="2" t="inlineStr">
        <is>
          <t>Preprint</t>
        </is>
      </c>
      <c r="I33" s="2" t="inlineStr"/>
      <c r="J33" s="2" t="inlineStr">
        <is>
          <t>a (abstract: corpus, tokenizer and model weights released openly)</t>
        </is>
      </c>
      <c r="K33" s="2" t="inlineStr">
        <is>
          <t>Yes</t>
        </is>
      </c>
      <c r="L33" s="2" t="inlineStr"/>
      <c r="M33" s="2" t="inlineStr"/>
      <c r="N33" s="3" t="inlineStr">
        <is>
          <t>UrduLM</t>
        </is>
      </c>
      <c r="O33" s="3" t="inlineStr">
        <is>
          <t>LLaMA-2, GPT-4</t>
        </is>
      </c>
      <c r="P33" s="3" t="inlineStr">
        <is>
          <t>UrduLM</t>
        </is>
      </c>
      <c r="Q33" s="3" t="inlineStr">
        <is>
          <t>100M</t>
        </is>
      </c>
      <c r="R33" s="6" t="inlineStr">
        <is>
          <t>Compact</t>
        </is>
      </c>
      <c r="S33" s="2" t="inlineStr">
        <is>
          <t>Compact</t>
        </is>
      </c>
      <c r="T33" s="2" t="inlineStr">
        <is>
          <t>No</t>
        </is>
      </c>
      <c r="U33" s="2" t="inlineStr">
        <is>
          <t>Natural Language Processing</t>
        </is>
      </c>
      <c r="V33" s="3" t="inlineStr">
        <is>
          <t>33GB Urdu corpus</t>
        </is>
      </c>
      <c r="W33" s="3" t="inlineStr">
        <is>
          <t>New benchmark datasets</t>
        </is>
      </c>
      <c r="X33" s="3" t="inlineStr">
        <is>
          <t>sentiment classification, grammar correction</t>
        </is>
      </c>
      <c r="Y33" s="3" t="inlineStr">
        <is>
          <t>Introduction of UrduLM, a competitive monolingual Urdu language model trained in low-resource settings.</t>
        </is>
      </c>
      <c r="Z33" s="2" t="inlineStr">
        <is>
          <t>Pakistan</t>
        </is>
      </c>
    </row>
    <row r="34">
      <c r="A34" s="2" t="n">
        <v>64</v>
      </c>
      <c r="B34" s="2" t="inlineStr">
        <is>
          <t>albeto</t>
        </is>
      </c>
      <c r="C34" s="2" t="inlineStr">
        <is>
          <t>Canete et al.</t>
        </is>
      </c>
      <c r="D34" s="3" t="inlineStr">
        <is>
          <t>ALBETO and DistilBETO: Lightweight Spanish language models</t>
        </is>
      </c>
      <c r="E34" s="2" t="n">
        <v>2022</v>
      </c>
      <c r="F34" s="3" t="inlineStr">
        <is>
          <t>Proceedings of the thirteenth language resources and evaluation conference</t>
        </is>
      </c>
      <c r="G34" s="4" t="inlineStr">
        <is>
          <t>https://aclanthology.org/2022.lrec-1.457</t>
        </is>
      </c>
      <c r="H34" s="2" t="inlineStr">
        <is>
          <t>Peer-reviewed</t>
        </is>
      </c>
      <c r="I34" s="2" t="inlineStr"/>
      <c r="J34" s="2" t="inlineStr">
        <is>
          <t>Not applicable</t>
        </is>
      </c>
      <c r="K34" s="2" t="inlineStr"/>
      <c r="L34" s="2" t="inlineStr"/>
      <c r="M34" s="2" t="inlineStr"/>
      <c r="N34" s="3" t="inlineStr">
        <is>
          <t>ALBETO-tiny</t>
        </is>
      </c>
      <c r="O34" s="3" t="inlineStr">
        <is>
          <t>ALBERT, DistilBERT, BETO</t>
        </is>
      </c>
      <c r="P34" s="3" t="inlineStr">
        <is>
          <t>ALBETO, DistilBETO</t>
        </is>
      </c>
      <c r="Q34" s="3" t="inlineStr">
        <is>
          <t>5M, 67M, 223M</t>
        </is>
      </c>
      <c r="R34" s="8" t="inlineStr">
        <is>
          <t>Lightweight</t>
        </is>
      </c>
      <c r="S34" s="2" t="inlineStr">
        <is>
          <t>Lightweight; Compact</t>
        </is>
      </c>
      <c r="T34" s="2" t="inlineStr">
        <is>
          <t>No</t>
        </is>
      </c>
      <c r="U34" s="2" t="inlineStr">
        <is>
          <t>Natural Language Processing</t>
        </is>
      </c>
      <c r="V34" s="3" t="inlineStr">
        <is>
          <t>N/A</t>
        </is>
      </c>
      <c r="W34" s="3" t="inlineStr">
        <is>
          <t>GLUES, MLDoc, PAWS-X, XNLI, MLQA, SQAC, XQuAD</t>
        </is>
      </c>
      <c r="X34" s="3" t="inlineStr">
        <is>
          <t>natural language understanding, sentiment analysis, document classification, natural language inference</t>
        </is>
      </c>
      <c r="Y34" s="3" t="inlineStr">
        <is>
          <t>The paper presents ALBETO and DistilBETO, lightweight Spanish language models that achieve competitive results with fewer parameters.</t>
        </is>
      </c>
      <c r="Z34" s="2" t="inlineStr">
        <is>
          <t>Chile</t>
        </is>
      </c>
    </row>
    <row r="35">
      <c r="A35" s="2" t="n">
        <v>65</v>
      </c>
      <c r="B35" s="2" t="inlineStr">
        <is>
          <t>lilmoo</t>
        </is>
      </c>
      <c r="C35" s="2" t="inlineStr">
        <is>
          <t>Fatimah et al.</t>
        </is>
      </c>
      <c r="D35" s="3" t="inlineStr">
        <is>
          <t>Raising Bars, Not Parameters: LilMoo Compact Language Model for Hindi</t>
        </is>
      </c>
      <c r="E35" s="2" t="n">
        <v>2026</v>
      </c>
      <c r="F35" s="3" t="inlineStr">
        <is>
          <t>arXiv preprint arXiv:2603.03508</t>
        </is>
      </c>
      <c r="G35" s="4" t="inlineStr">
        <is>
          <t>https://arxiv.org/abs/2603.03508</t>
        </is>
      </c>
      <c r="H35" s="2" t="inlineStr">
        <is>
          <t>Preprint</t>
        </is>
      </c>
      <c r="I35" s="2" t="inlineStr"/>
      <c r="J35" s="2" t="inlineStr">
        <is>
          <t>a (models on huggingface.co/Polygl0t project page)</t>
        </is>
      </c>
      <c r="K35" s="2" t="inlineStr">
        <is>
          <t>Yes</t>
        </is>
      </c>
      <c r="L35" s="2" t="inlineStr"/>
      <c r="M35" s="2" t="inlineStr"/>
      <c r="N35" s="3" t="inlineStr">
        <is>
          <t>LilMoo</t>
        </is>
      </c>
      <c r="O35" s="3" t="inlineStr">
        <is>
          <t>N/A</t>
        </is>
      </c>
      <c r="P35" s="3" t="inlineStr">
        <is>
          <t>LilMoo</t>
        </is>
      </c>
      <c r="Q35" s="3" t="inlineStr">
        <is>
          <t>0.6B</t>
        </is>
      </c>
      <c r="R35" s="6" t="inlineStr">
        <is>
          <t>Compact</t>
        </is>
      </c>
      <c r="S35" s="2" t="inlineStr">
        <is>
          <t>Compact</t>
        </is>
      </c>
      <c r="T35" s="2" t="inlineStr">
        <is>
          <t>No</t>
        </is>
      </c>
      <c r="U35" s="2" t="inlineStr">
        <is>
          <t>Natural Language Processing</t>
        </is>
      </c>
      <c r="V35" s="3" t="inlineStr">
        <is>
          <t>GigaLekh</t>
        </is>
      </c>
      <c r="W35" s="3" t="inlineStr">
        <is>
          <t>N/A</t>
        </is>
      </c>
      <c r="X35" s="3" t="inlineStr">
        <is>
          <t>N/A</t>
        </is>
      </c>
      <c r="Y35" s="3" t="inlineStr">
        <is>
          <t>Introduction of LilMoo, a Hindi language model trained from scratch to address linguistic inequalities in NLP.</t>
        </is>
      </c>
      <c r="Z35" s="2" t="inlineStr">
        <is>
          <t>Germany</t>
        </is>
      </c>
    </row>
    <row r="36">
      <c r="A36" s="2" t="n">
        <v>66</v>
      </c>
      <c r="B36" s="2" t="inlineStr">
        <is>
          <t>bertabaporu</t>
        </is>
      </c>
      <c r="C36" s="2" t="inlineStr">
        <is>
          <t>Costa et al.</t>
        </is>
      </c>
      <c r="D36" s="3" t="inlineStr">
        <is>
          <t>BERTabaporu: Assessing a Genre-Specific Language Model for Portuguese NLP</t>
        </is>
      </c>
      <c r="E36" s="2" t="n">
        <v>2023</v>
      </c>
      <c r="F36" s="3" t="inlineStr">
        <is>
          <t>Proceedings of the 14th International Conference on Recent Advances in Natural Language Processing</t>
        </is>
      </c>
      <c r="G36" s="4" t="inlineStr">
        <is>
          <t>https://aclanthology.org/2023.ranlp-1.24</t>
        </is>
      </c>
      <c r="H36" s="2" t="inlineStr">
        <is>
          <t>Peer-reviewed</t>
        </is>
      </c>
      <c r="I36" s="2" t="inlineStr"/>
      <c r="J36" s="2" t="inlineStr">
        <is>
          <t>Not applicable</t>
        </is>
      </c>
      <c r="K36" s="2" t="inlineStr"/>
      <c r="L36" s="2" t="inlineStr"/>
      <c r="M36" s="2" t="inlineStr"/>
      <c r="N36" s="3" t="inlineStr">
        <is>
          <t>BERTabaporu</t>
        </is>
      </c>
      <c r="O36" s="3" t="inlineStr">
        <is>
          <t>BERT, BERTimbau</t>
        </is>
      </c>
      <c r="P36" s="3" t="inlineStr">
        <is>
          <t>BERTabaporu</t>
        </is>
      </c>
      <c r="Q36" s="3" t="inlineStr">
        <is>
          <t>BERT-base (~110M)</t>
        </is>
      </c>
      <c r="R36" s="6" t="inlineStr">
        <is>
          <t>Compact</t>
        </is>
      </c>
      <c r="S36" s="2" t="inlineStr">
        <is>
          <t>Compact</t>
        </is>
      </c>
      <c r="T36" s="2" t="inlineStr">
        <is>
          <t>No</t>
        </is>
      </c>
      <c r="U36" s="2" t="inlineStr">
        <is>
          <t>Natural Language Processing</t>
        </is>
      </c>
      <c r="V36" s="3" t="inlineStr">
        <is>
          <t>238 million tweets</t>
        </is>
      </c>
      <c r="W36" s="3" t="inlineStr">
        <is>
          <t>N/A</t>
        </is>
      </c>
      <c r="X36" s="3" t="inlineStr">
        <is>
          <t>stance prediction, mental health prediction, political alignment prediction</t>
        </is>
      </c>
      <c r="Y36" s="3" t="inlineStr">
        <is>
          <t>Introduction of BERTabaporu, a BERT model trained on a large Twitter corpus in Portuguese, and comparison with existing models.</t>
        </is>
      </c>
      <c r="Z36" s="2" t="inlineStr">
        <is>
          <t>Brazil</t>
        </is>
      </c>
    </row>
    <row r="37">
      <c r="A37" s="2" t="n">
        <v>67</v>
      </c>
      <c r="B37" s="2" t="inlineStr">
        <is>
          <t>malbert</t>
        </is>
      </c>
      <c r="C37" s="2" t="inlineStr">
        <is>
          <t>Servan et al.</t>
        </is>
      </c>
      <c r="D37" s="3" t="inlineStr">
        <is>
          <t>mALBERT: Is a Compact Multilingual BERT Model Still Worth It?</t>
        </is>
      </c>
      <c r="E37" s="2" t="n">
        <v>2024</v>
      </c>
      <c r="F37" s="3" t="inlineStr">
        <is>
          <t>Proceedings of the 2024 joint international conference on computational linguistics, language resources and evaluation (LREC-COLING 2024)</t>
        </is>
      </c>
      <c r="G37" s="4" t="inlineStr">
        <is>
          <t>https://aclanthology.org/2024.lrec-main.960</t>
        </is>
      </c>
      <c r="H37" s="2" t="inlineStr">
        <is>
          <t>Peer-reviewed</t>
        </is>
      </c>
      <c r="I37" s="2" t="inlineStr"/>
      <c r="J37" s="2" t="inlineStr">
        <is>
          <t>Not applicable</t>
        </is>
      </c>
      <c r="K37" s="2" t="inlineStr"/>
      <c r="L37" s="2" t="inlineStr"/>
      <c r="M37" s="2" t="inlineStr"/>
      <c r="N37" s="3" t="inlineStr">
        <is>
          <t>mALBERT</t>
        </is>
      </c>
      <c r="O37" s="3" t="inlineStr">
        <is>
          <t>BERT, ALBERT, GPT-4, LLaMA, BLOOM</t>
        </is>
      </c>
      <c r="P37" s="3" t="inlineStr">
        <is>
          <t>mALBERT</t>
        </is>
      </c>
      <c r="Q37" s="3" t="inlineStr">
        <is>
          <t>12M (ALBERT)</t>
        </is>
      </c>
      <c r="R37" s="8" t="inlineStr">
        <is>
          <t>Lightweight</t>
        </is>
      </c>
      <c r="S37" s="2" t="inlineStr">
        <is>
          <t>Lightweight</t>
        </is>
      </c>
      <c r="T37" s="2" t="inlineStr">
        <is>
          <t>No</t>
        </is>
      </c>
      <c r="U37" s="2" t="inlineStr">
        <is>
          <t>Natural Language Processing</t>
        </is>
      </c>
      <c r="V37" s="3" t="inlineStr">
        <is>
          <t>Wikipedia</t>
        </is>
      </c>
      <c r="W37" s="3" t="inlineStr">
        <is>
          <t>GLUE, SQuAD</t>
        </is>
      </c>
      <c r="X37" s="3" t="inlineStr">
        <is>
          <t>Spoken Language Understanding, Question-Answering, Named Entity Recognition</t>
        </is>
      </c>
      <c r="Y37" s="3" t="inlineStr">
        <is>
          <t>The paper presents the release of a multilingual version of ALBERT, mALBERT, and studies the impact of subword tokenization on language performance.</t>
        </is>
      </c>
      <c r="Z37" s="2" t="inlineStr">
        <is>
          <t>France</t>
        </is>
      </c>
    </row>
    <row r="38">
      <c r="A38" s="2" t="n">
        <v>68</v>
      </c>
      <c r="B38" s="2" t="inlineStr">
        <is>
          <t>hennara2025kuwain</t>
        </is>
      </c>
      <c r="C38" s="2" t="inlineStr">
        <is>
          <t>Hennara et al.</t>
        </is>
      </c>
      <c r="D38" s="3" t="inlineStr">
        <is>
          <t>Kuwain 1.5B: An Arabic SLM via Language Injection</t>
        </is>
      </c>
      <c r="E38" s="2" t="n">
        <v>2025</v>
      </c>
      <c r="F38" s="3" t="inlineStr">
        <is>
          <t>arXiv preprint arXiv:2504.15120</t>
        </is>
      </c>
      <c r="G38" s="4" t="inlineStr">
        <is>
          <t>https://arxiv.org/abs/2504.15120</t>
        </is>
      </c>
      <c r="H38" s="2" t="inlineStr">
        <is>
          <t>Preprint</t>
        </is>
      </c>
      <c r="I38" s="2" t="inlineStr"/>
      <c r="J38" s="2" t="inlineStr">
        <is>
          <t>a (GitHub); b (5)</t>
        </is>
      </c>
      <c r="K38" s="2" t="inlineStr">
        <is>
          <t>Yes</t>
        </is>
      </c>
      <c r="L38" s="2" t="inlineStr">
        <is>
          <t>Yes</t>
        </is>
      </c>
      <c r="M38" s="2" t="inlineStr"/>
      <c r="N38" s="3" t="inlineStr">
        <is>
          <t>Kuwain 1.5B</t>
        </is>
      </c>
      <c r="O38" s="3" t="inlineStr">
        <is>
          <t>TinyLlama 1.1B</t>
        </is>
      </c>
      <c r="P38" s="3" t="inlineStr">
        <is>
          <t>Kuwain 1.5B</t>
        </is>
      </c>
      <c r="Q38" s="3" t="inlineStr">
        <is>
          <t>1.5B</t>
        </is>
      </c>
      <c r="R38" s="5" t="inlineStr">
        <is>
          <t>Moderate</t>
        </is>
      </c>
      <c r="S38" s="2" t="inlineStr">
        <is>
          <t>Moderate</t>
        </is>
      </c>
      <c r="T38" s="2" t="inlineStr">
        <is>
          <t>No</t>
        </is>
      </c>
      <c r="U38" s="2" t="inlineStr">
        <is>
          <t>Natural Language Processing</t>
        </is>
      </c>
      <c r="V38" s="3" t="inlineStr">
        <is>
          <t>N/A</t>
        </is>
      </c>
      <c r="W38" s="3" t="inlineStr">
        <is>
          <t>N/A</t>
        </is>
      </c>
      <c r="X38" s="3" t="inlineStr">
        <is>
          <t>Arabic language modelling</t>
        </is>
      </c>
      <c r="Y38" s="3" t="inlineStr">
        <is>
          <t>Injects Arabic into an English-centric small model without full retraining</t>
        </is>
      </c>
      <c r="Z38" s="2" t="inlineStr">
        <is>
          <t>Saudi Arabia</t>
        </is>
      </c>
    </row>
    <row r="39">
      <c r="A39" s="2" t="n">
        <v>69</v>
      </c>
      <c r="B39" s="2" t="inlineStr">
        <is>
          <t>aldallal2025sadeed</t>
        </is>
      </c>
      <c r="C39" s="2" t="inlineStr">
        <is>
          <t>Aldallal et al.</t>
        </is>
      </c>
      <c r="D39" s="3" t="inlineStr">
        <is>
          <t>Sadeed: Advancing Arabic Diacritization Through Small Language Model</t>
        </is>
      </c>
      <c r="E39" s="2" t="n">
        <v>2025</v>
      </c>
      <c r="F39" s="3" t="inlineStr">
        <is>
          <t>arXiv preprint arXiv:2504.21635</t>
        </is>
      </c>
      <c r="G39" s="4" t="inlineStr">
        <is>
          <t>https://arxiv.org/abs/2504.21635</t>
        </is>
      </c>
      <c r="H39" s="2" t="inlineStr">
        <is>
          <t>Preprint</t>
        </is>
      </c>
      <c r="I39" s="2" t="inlineStr"/>
      <c r="J39" s="2" t="inlineStr">
        <is>
          <t>b (7)</t>
        </is>
      </c>
      <c r="K39" s="2" t="inlineStr"/>
      <c r="L39" s="2" t="inlineStr">
        <is>
          <t>Yes</t>
        </is>
      </c>
      <c r="M39" s="2" t="inlineStr"/>
      <c r="N39" s="3" t="inlineStr">
        <is>
          <t>Sadeed</t>
        </is>
      </c>
      <c r="O39" s="3" t="inlineStr">
        <is>
          <t>Kuwain 1.5B</t>
        </is>
      </c>
      <c r="P39" s="3" t="inlineStr">
        <is>
          <t>Sadeed</t>
        </is>
      </c>
      <c r="Q39" s="3" t="inlineStr">
        <is>
          <t>~1.5B (Kuwain-based)</t>
        </is>
      </c>
      <c r="R39" s="5" t="inlineStr">
        <is>
          <t>Moderate</t>
        </is>
      </c>
      <c r="S39" s="2" t="inlineStr">
        <is>
          <t>Moderate</t>
        </is>
      </c>
      <c r="T39" s="2" t="inlineStr">
        <is>
          <t>No</t>
        </is>
      </c>
      <c r="U39" s="2" t="inlineStr">
        <is>
          <t>Natural Language Processing</t>
        </is>
      </c>
      <c r="V39" s="3" t="inlineStr">
        <is>
          <t>Diacritized Arabic corpora</t>
        </is>
      </c>
      <c r="W39" s="3" t="inlineStr">
        <is>
          <t>SadeedDiac-25</t>
        </is>
      </c>
      <c r="X39" s="3" t="inlineStr">
        <is>
          <t>Arabic diacritization</t>
        </is>
      </c>
      <c r="Y39" s="3" t="inlineStr">
        <is>
          <t>Fine-tuned SLM for Arabic diacritization plus SadeedDiac-25 benchmark</t>
        </is>
      </c>
      <c r="Z39" s="2" t="inlineStr">
        <is>
          <t>Saudi Arabia</t>
        </is>
      </c>
    </row>
    <row r="40">
      <c r="A40" s="2" t="n">
        <v>70</v>
      </c>
      <c r="B40" s="2" t="inlineStr">
        <is>
          <t>gessler2022microbert</t>
        </is>
      </c>
      <c r="C40" s="2" t="inlineStr">
        <is>
          <t>Gessler and Zeldes</t>
        </is>
      </c>
      <c r="D40" s="3" t="inlineStr">
        <is>
          <t>MicroBERT: Effective Training of Low-resource Monolingual BERTs through Parameter Reduction and Multitask Learning</t>
        </is>
      </c>
      <c r="E40" s="2" t="n">
        <v>2022</v>
      </c>
      <c r="F40" s="3" t="inlineStr">
        <is>
          <t>MRL Workshop 2022 (ACL Anthology)</t>
        </is>
      </c>
      <c r="G40" s="4" t="inlineStr">
        <is>
          <t>https://doi.org/10.18653/v1/2022.mrl-1.9</t>
        </is>
      </c>
      <c r="H40" s="2" t="inlineStr">
        <is>
          <t>Peer-reviewed</t>
        </is>
      </c>
      <c r="I40" s="2" t="inlineStr"/>
      <c r="J40" s="2" t="inlineStr">
        <is>
          <t>Not applicable</t>
        </is>
      </c>
      <c r="K40" s="2" t="inlineStr"/>
      <c r="L40" s="2" t="inlineStr"/>
      <c r="M40" s="2" t="inlineStr"/>
      <c r="N40" s="3" t="inlineStr">
        <is>
          <t>MicroBERT</t>
        </is>
      </c>
      <c r="O40" s="3" t="inlineStr">
        <is>
          <t>BERT, mBERT, RoBERTa, XLM-R, ELECTRA</t>
        </is>
      </c>
      <c r="P40" s="3" t="inlineStr">
        <is>
          <t>MicroBERT</t>
        </is>
      </c>
      <c r="Q40" s="3" t="inlineStr">
        <is>
          <t>&lt;1% of mBERT (~&lt;2M)</t>
        </is>
      </c>
      <c r="R40" s="8" t="inlineStr">
        <is>
          <t>Lightweight</t>
        </is>
      </c>
      <c r="S40" s="2" t="inlineStr">
        <is>
          <t>Lightweight</t>
        </is>
      </c>
      <c r="T40" s="2" t="inlineStr">
        <is>
          <t>No</t>
        </is>
      </c>
      <c r="U40" s="2" t="inlineStr">
        <is>
          <t>Natural Language Processing</t>
        </is>
      </c>
      <c r="V40" s="3" t="inlineStr">
        <is>
          <t>N/A</t>
        </is>
      </c>
      <c r="W40" s="3" t="inlineStr">
        <is>
          <t>NER, UD parsing</t>
        </is>
      </c>
      <c r="X40" s="3" t="inlineStr">
        <is>
          <t>MLM, POS tagging, parsing, NER</t>
        </is>
      </c>
      <c r="Y40" s="3" t="inlineStr">
        <is>
          <t>Small monolingual BERTs with multitask learning for low-resource languages</t>
        </is>
      </c>
      <c r="Z40" s="2" t="inlineStr">
        <is>
          <t>United States</t>
        </is>
      </c>
    </row>
    <row r="41">
      <c r="A41" s="2" t="n">
        <v>71</v>
      </c>
      <c r="B41" s="2" t="inlineStr">
        <is>
          <t>gurgurov2025small</t>
        </is>
      </c>
      <c r="C41" s="2" t="inlineStr">
        <is>
          <t>Gurgurov et al.</t>
        </is>
      </c>
      <c r="D41" s="3" t="inlineStr">
        <is>
          <t>Small Models, BIG Impact: Efficient Corpus and Graph-Based Adaptation of Small Multilingual Language Models for Low-Resource Languages</t>
        </is>
      </c>
      <c r="E41" s="2" t="n">
        <v>2025</v>
      </c>
      <c r="F41" s="3" t="inlineStr">
        <is>
          <t>ACL 2025 Student Research Workshop</t>
        </is>
      </c>
      <c r="G41" s="4" t="inlineStr">
        <is>
          <t>https://doi.org/10.18653/v1/2025.acl-srw.24</t>
        </is>
      </c>
      <c r="H41" s="2" t="inlineStr">
        <is>
          <t>Peer-reviewed</t>
        </is>
      </c>
      <c r="I41" s="2" t="inlineStr"/>
      <c r="J41" s="2" t="inlineStr">
        <is>
          <t>Not applicable</t>
        </is>
      </c>
      <c r="K41" s="2" t="inlineStr"/>
      <c r="L41" s="2" t="inlineStr"/>
      <c r="M41" s="2" t="inlineStr"/>
      <c r="N41" s="3" t="inlineStr">
        <is>
          <t>None</t>
        </is>
      </c>
      <c r="O41" s="3" t="inlineStr">
        <is>
          <t>mBERT, XLM-R-base, LLaMA-3-8B (adapted); GPT-4, DeepSeek-R1 (comparators)</t>
        </is>
      </c>
      <c r="P41" s="3" t="inlineStr">
        <is>
          <t>Adapters (Sequential/Invertible Bottleneck, LoRA)</t>
        </is>
      </c>
      <c r="Q41" s="3" t="inlineStr">
        <is>
          <t>mBERT 0.177B, XLM-R-base 0.279B, LLaMA-3-8B</t>
        </is>
      </c>
      <c r="R41" s="2" t="inlineStr">
        <is>
          <t>Mixed</t>
        </is>
      </c>
      <c r="S41" s="2" t="inlineStr">
        <is>
          <t>Compact; Higher</t>
        </is>
      </c>
      <c r="T41" s="2" t="inlineStr">
        <is>
          <t>Yes</t>
        </is>
      </c>
      <c r="U41" s="2" t="inlineStr">
        <is>
          <t>Natural Language Processing</t>
        </is>
      </c>
      <c r="V41" s="3" t="inlineStr">
        <is>
          <t>GlotCC, ConceptNet</t>
        </is>
      </c>
      <c r="W41" s="3" t="inlineStr">
        <is>
          <t>N/A</t>
        </is>
      </c>
      <c r="X41" s="3" t="inlineStr">
        <is>
          <t>MLM, topic classification, sentiment, NER</t>
        </is>
      </c>
      <c r="Y41" s="3" t="inlineStr">
        <is>
          <t>Parameter-efficient adaptation of small multilingual models for low-resource languages</t>
        </is>
      </c>
      <c r="Z41" s="2" t="inlineStr">
        <is>
          <t>Germany</t>
        </is>
      </c>
    </row>
    <row r="42">
      <c r="A42" s="2" t="n">
        <v>72</v>
      </c>
      <c r="B42" s="2" t="inlineStr">
        <is>
          <t>alghamdi2026improving</t>
        </is>
      </c>
      <c r="C42" s="2" t="inlineStr">
        <is>
          <t>Alghamdi et al.</t>
        </is>
      </c>
      <c r="D42" s="3" t="inlineStr">
        <is>
          <t>Improving on State-of-the-Art Models for Sentiment Analysis on Saudi-English Code-Switching Text</t>
        </is>
      </c>
      <c r="E42" s="2" t="n">
        <v>2026</v>
      </c>
      <c r="F42" s="3" t="inlineStr">
        <is>
          <t>Proceedings of the 2nd Workshop on NLP for Languages Using Arabic Script</t>
        </is>
      </c>
      <c r="G42" s="4" t="inlineStr">
        <is>
          <t>https://aclanthology.org/2026.abjadnlp-1.30</t>
        </is>
      </c>
      <c r="H42" s="2" t="inlineStr">
        <is>
          <t>Peer-reviewed</t>
        </is>
      </c>
      <c r="I42" s="2" t="inlineStr"/>
      <c r="J42" s="2" t="inlineStr">
        <is>
          <t>Not applicable</t>
        </is>
      </c>
      <c r="K42" s="2" t="inlineStr"/>
      <c r="L42" s="2" t="inlineStr"/>
      <c r="M42" s="2" t="inlineStr"/>
      <c r="N42" s="3" t="inlineStr">
        <is>
          <t>XLM-R / GigaBERT</t>
        </is>
      </c>
      <c r="O42" s="3" t="inlineStr">
        <is>
          <t>XLM-RoBERTa, GigaBERT, SaudiBERT, Fanar, ALLaM</t>
        </is>
      </c>
      <c r="P42" s="3" t="inlineStr">
        <is>
          <t>Saudi-English Sentiment Analysis Code-Switching Dataset (SESA-CSD)</t>
        </is>
      </c>
      <c r="Q42" s="3" t="inlineStr">
        <is>
          <t>143M–371M encoders (XLM-R, GigaBERT, AraBERT-Large); 8B–32B LLM comparators</t>
        </is>
      </c>
      <c r="R42" s="6" t="inlineStr">
        <is>
          <t>Compact</t>
        </is>
      </c>
      <c r="S42" s="2" t="inlineStr">
        <is>
          <t>Compact</t>
        </is>
      </c>
      <c r="T42" s="2" t="inlineStr">
        <is>
          <t>No</t>
        </is>
      </c>
      <c r="U42" s="2" t="inlineStr">
        <is>
          <t>Natural Language Processing</t>
        </is>
      </c>
      <c r="V42" s="3" t="inlineStr">
        <is>
          <t>N/A</t>
        </is>
      </c>
      <c r="W42" s="3" t="inlineStr">
        <is>
          <t>Saudi-English Sentiment Analysis Code-Switching Dataset (SESA-CSD)</t>
        </is>
      </c>
      <c r="X42" s="3" t="inlineStr">
        <is>
          <t>sentiment analysis</t>
        </is>
      </c>
      <c r="Y42" s="3" t="inlineStr">
        <is>
          <t>The paper presents the first sentiment analysis study on Saudi-English code-switching text and establishes baseline results on a newly created dataset.</t>
        </is>
      </c>
      <c r="Z42" s="2" t="inlineStr">
        <is>
          <t>Saudi Arabia</t>
        </is>
      </c>
    </row>
    <row r="43">
      <c r="A43" s="2" t="n">
        <v>73</v>
      </c>
      <c r="B43" s="2" t="inlineStr">
        <is>
          <t>unigen</t>
        </is>
      </c>
      <c r="C43" s="2" t="inlineStr">
        <is>
          <t>Choi et al.</t>
        </is>
      </c>
      <c r="D43" s="3" t="inlineStr">
        <is>
          <t>UniGen: Universal Domain Generalization for Sentiment Classification via Zero-Shot Dataset Generation</t>
        </is>
      </c>
      <c r="E43" s="2" t="n">
        <v>2024</v>
      </c>
      <c r="F43" s="3" t="inlineStr">
        <is>
          <t>Proceedings of the 2024 Conference on Empirical Methods in Natural Language Processing</t>
        </is>
      </c>
      <c r="G43" s="4" t="inlineStr">
        <is>
          <t>https://aclanthology.org/2024.emnlp-main.1</t>
        </is>
      </c>
      <c r="H43" s="2" t="inlineStr">
        <is>
          <t>Peer-reviewed</t>
        </is>
      </c>
      <c r="I43" s="2" t="inlineStr"/>
      <c r="J43" s="2" t="inlineStr">
        <is>
          <t>Not applicable</t>
        </is>
      </c>
      <c r="K43" s="2" t="inlineStr"/>
      <c r="L43" s="2" t="inlineStr"/>
      <c r="M43" s="2" t="inlineStr"/>
      <c r="N43" s="3" t="inlineStr">
        <is>
          <t>UniGen</t>
        </is>
      </c>
      <c r="O43" s="3" t="inlineStr">
        <is>
          <t>N/A</t>
        </is>
      </c>
      <c r="P43" s="3" t="inlineStr">
        <is>
          <t>UNIGEN</t>
        </is>
      </c>
      <c r="Q43" s="3" t="inlineStr">
        <is>
          <t>Tiny task models (LSTM 7M, RoBERTa 110M); 1.5B generator</t>
        </is>
      </c>
      <c r="R43" s="8" t="inlineStr">
        <is>
          <t>Lightweight</t>
        </is>
      </c>
      <c r="S43" s="2" t="inlineStr">
        <is>
          <t>Lightweight; Compact</t>
        </is>
      </c>
      <c r="T43" s="2" t="inlineStr">
        <is>
          <t>No</t>
        </is>
      </c>
      <c r="U43" s="2" t="inlineStr">
        <is>
          <t>Natural Language Processing</t>
        </is>
      </c>
      <c r="V43" s="3" t="inlineStr">
        <is>
          <t>N/A</t>
        </is>
      </c>
      <c r="W43" s="3" t="inlineStr">
        <is>
          <t>N/A</t>
        </is>
      </c>
      <c r="X43" s="3" t="inlineStr">
        <is>
          <t>sentiment classification</t>
        </is>
      </c>
      <c r="Y43" s="3" t="inlineStr">
        <is>
          <t>The proposed UNIGEN method generates a domain-invariant training dataset that enhances domain generalizability for task-specific models.</t>
        </is>
      </c>
      <c r="Z43" s="2" t="inlineStr">
        <is>
          <t>South Korea</t>
        </is>
      </c>
    </row>
    <row r="44">
      <c r="A44" s="2" t="n">
        <v>74</v>
      </c>
      <c r="B44" s="2" t="inlineStr">
        <is>
          <t>fields2023tiny</t>
        </is>
      </c>
      <c r="C44" s="2" t="inlineStr">
        <is>
          <t>Fields et al.</t>
        </is>
      </c>
      <c r="D44" s="3" t="inlineStr">
        <is>
          <t>Tiny Language Models Enriched with Multimodal Knowledge from Multiplex Networks</t>
        </is>
      </c>
      <c r="E44" s="2" t="n">
        <v>2023</v>
      </c>
      <c r="F44" s="3" t="inlineStr">
        <is>
          <t>Proceedings of the BabyLM Challenge at the 27th Conference on Computational Natural Language Learning</t>
        </is>
      </c>
      <c r="G44" s="4" t="inlineStr">
        <is>
          <t>https://aclanthology.org/2023.conll-babylm.3</t>
        </is>
      </c>
      <c r="H44" s="2" t="inlineStr">
        <is>
          <t>Peer-reviewed</t>
        </is>
      </c>
      <c r="I44" s="2" t="inlineStr"/>
      <c r="J44" s="2" t="inlineStr">
        <is>
          <t>Not applicable</t>
        </is>
      </c>
      <c r="K44" s="2" t="inlineStr"/>
      <c r="L44" s="2" t="inlineStr"/>
      <c r="M44" s="2" t="inlineStr"/>
      <c r="N44" s="3" t="inlineStr">
        <is>
          <t>ELECTRA-Tiny</t>
        </is>
      </c>
      <c r="O44" s="3" t="inlineStr">
        <is>
          <t>ELECTRA</t>
        </is>
      </c>
      <c r="P44" s="3" t="inlineStr">
        <is>
          <t>N/A</t>
        </is>
      </c>
      <c r="Q44" s="3" t="inlineStr">
        <is>
          <t>&lt; 7M</t>
        </is>
      </c>
      <c r="R44" s="8" t="inlineStr">
        <is>
          <t>Lightweight</t>
        </is>
      </c>
      <c r="S44" s="2" t="inlineStr">
        <is>
          <t>Lightweight</t>
        </is>
      </c>
      <c r="T44" s="2" t="inlineStr">
        <is>
          <t>No</t>
        </is>
      </c>
      <c r="U44" s="2" t="inlineStr">
        <is>
          <t>Natural Language Processing</t>
        </is>
      </c>
      <c r="V44" s="3" t="inlineStr">
        <is>
          <t>BabyLM dataset</t>
        </is>
      </c>
      <c r="W44" s="3" t="inlineStr">
        <is>
          <t>GLUE, SuperGLUE, BLiMP</t>
        </is>
      </c>
      <c r="X44" s="3" t="inlineStr">
        <is>
          <t>natural language understanding</t>
        </is>
      </c>
      <c r="Y44" s="3" t="inlineStr">
        <is>
          <t>The study demonstrates improved data efficiency in a small transformer model by enriching its embeddings with multimodal knowledge from a custom multiplex network.</t>
        </is>
      </c>
      <c r="Z44" s="2" t="inlineStr">
        <is>
          <t>United States</t>
        </is>
      </c>
    </row>
    <row r="45">
      <c r="A45" s="2" t="n">
        <v>75</v>
      </c>
      <c r="B45" s="2" t="inlineStr">
        <is>
          <t>tinyagent</t>
        </is>
      </c>
      <c r="C45" s="2" t="inlineStr">
        <is>
          <t>Erdogan et al.</t>
        </is>
      </c>
      <c r="D45" s="3" t="inlineStr">
        <is>
          <t>TinyAgent: Function Calling at the Edge</t>
        </is>
      </c>
      <c r="E45" s="2" t="n">
        <v>2024</v>
      </c>
      <c r="F45" s="3" t="inlineStr">
        <is>
          <t>arXiv preprint arXiv:2409.00608</t>
        </is>
      </c>
      <c r="G45" s="4" t="inlineStr">
        <is>
          <t>https://doi.org/10.18653/v1/2024.emnlp-demo.9</t>
        </is>
      </c>
      <c r="H45" s="2" t="inlineStr">
        <is>
          <t>Peer-reviewed</t>
        </is>
      </c>
      <c r="I45" s="2" t="inlineStr">
        <is>
          <t>Published version: EMNLP 2024</t>
        </is>
      </c>
      <c r="J45" s="2" t="inlineStr">
        <is>
          <t>Not applicable</t>
        </is>
      </c>
      <c r="K45" s="2" t="inlineStr"/>
      <c r="L45" s="2" t="inlineStr"/>
      <c r="M45" s="2" t="inlineStr"/>
      <c r="N45" s="3" t="inlineStr">
        <is>
          <t>TinyAgent</t>
        </is>
      </c>
      <c r="O45" s="3" t="inlineStr">
        <is>
          <t>GPT-4-Turbo</t>
        </is>
      </c>
      <c r="P45" s="3" t="inlineStr">
        <is>
          <t>TinyAgent-1.1B, TinyAgent-7B</t>
        </is>
      </c>
      <c r="Q45" s="3" t="inlineStr">
        <is>
          <t>1.1B, 7B</t>
        </is>
      </c>
      <c r="R45" s="5" t="inlineStr">
        <is>
          <t>Moderate</t>
        </is>
      </c>
      <c r="S45" s="2" t="inlineStr">
        <is>
          <t>Moderate; Higher</t>
        </is>
      </c>
      <c r="T45" s="2" t="inlineStr">
        <is>
          <t>Yes</t>
        </is>
      </c>
      <c r="U45" s="2" t="inlineStr">
        <is>
          <t>Agentic AI Applications</t>
        </is>
      </c>
      <c r="V45" s="3" t="inlineStr">
        <is>
          <t>high-quality dataset for function calling</t>
        </is>
      </c>
      <c r="W45" s="3" t="inlineStr">
        <is>
          <t>N/A</t>
        </is>
      </c>
      <c r="X45" s="3" t="inlineStr">
        <is>
          <t>function calling</t>
        </is>
      </c>
      <c r="Y45" s="3" t="inlineStr">
        <is>
          <t>Introduction of TinyAgent, a framework for training small language models capable of function calling at the edge.</t>
        </is>
      </c>
      <c r="Z45" s="2" t="inlineStr">
        <is>
          <t>United States</t>
        </is>
      </c>
    </row>
    <row r="46">
      <c r="A46" s="2" t="n">
        <v>76</v>
      </c>
      <c r="B46" s="2" t="inlineStr">
        <is>
          <t>octopusv2</t>
        </is>
      </c>
      <c r="C46" s="2" t="inlineStr">
        <is>
          <t>Chen et al.</t>
        </is>
      </c>
      <c r="D46" s="3" t="inlineStr">
        <is>
          <t>Octopus v2: On-Device Language Model for Super Agent</t>
        </is>
      </c>
      <c r="E46" s="2" t="n">
        <v>2024</v>
      </c>
      <c r="F46" s="3" t="inlineStr">
        <is>
          <t>arXiv preprint arXiv:2404.01744</t>
        </is>
      </c>
      <c r="G46" s="4" t="inlineStr">
        <is>
          <t>https://arxiv.org/abs/2404.01744</t>
        </is>
      </c>
      <c r="H46" s="2" t="inlineStr">
        <is>
          <t>Preprint</t>
        </is>
      </c>
      <c r="I46" s="2" t="inlineStr"/>
      <c r="J46" s="2" t="inlineStr">
        <is>
          <t>b (49); c</t>
        </is>
      </c>
      <c r="K46" s="2" t="inlineStr"/>
      <c r="L46" s="2" t="inlineStr">
        <is>
          <t>Yes</t>
        </is>
      </c>
      <c r="M46" s="2" t="inlineStr">
        <is>
          <t>Yes</t>
        </is>
      </c>
      <c r="N46" s="3" t="inlineStr">
        <is>
          <t>Octopus v2</t>
        </is>
      </c>
      <c r="O46" s="3" t="inlineStr">
        <is>
          <t>GPT-4, Llama-7B</t>
        </is>
      </c>
      <c r="P46" s="3" t="inlineStr">
        <is>
          <t>Octopus v2</t>
        </is>
      </c>
      <c r="Q46" s="3" t="inlineStr">
        <is>
          <t>2B</t>
        </is>
      </c>
      <c r="R46" s="5" t="inlineStr">
        <is>
          <t>Moderate</t>
        </is>
      </c>
      <c r="S46" s="2" t="inlineStr">
        <is>
          <t>Moderate</t>
        </is>
      </c>
      <c r="T46" s="2" t="inlineStr">
        <is>
          <t>No</t>
        </is>
      </c>
      <c r="U46" s="2" t="inlineStr">
        <is>
          <t>Agentic AI Applications</t>
        </is>
      </c>
      <c r="V46" s="3" t="inlineStr">
        <is>
          <t>N/A</t>
        </is>
      </c>
      <c r="W46" s="3" t="inlineStr">
        <is>
          <t>N/A</t>
        </is>
      </c>
      <c r="X46" s="3" t="inlineStr">
        <is>
          <t>function calling</t>
        </is>
      </c>
      <c r="Y46" s="3" t="inlineStr">
        <is>
          <t>A new method that empowers an on-device model with 2 billion parameters to surpass the performance of GPT-4 in both accuracy and latency.</t>
        </is>
      </c>
      <c r="Z46" s="2" t="inlineStr">
        <is>
          <t>United States</t>
        </is>
      </c>
    </row>
    <row r="47">
      <c r="A47" s="2" t="n">
        <v>77</v>
      </c>
      <c r="B47" s="2" t="inlineStr">
        <is>
          <t>dao2025jannanotechnicalreport</t>
        </is>
      </c>
      <c r="C47" s="2" t="inlineStr">
        <is>
          <t>Dao et al.</t>
        </is>
      </c>
      <c r="D47" s="3" t="inlineStr">
        <is>
          <t>Jan-nano Technical Report</t>
        </is>
      </c>
      <c r="E47" s="2" t="n">
        <v>2025</v>
      </c>
      <c r="F47" s="3" t="inlineStr">
        <is>
          <t>arXiv preprint arXiv:2506.22760</t>
        </is>
      </c>
      <c r="G47" s="4" t="inlineStr">
        <is>
          <t>https://arxiv.org/abs/2506.22760</t>
        </is>
      </c>
      <c r="H47" s="2" t="inlineStr">
        <is>
          <t>Preprint</t>
        </is>
      </c>
      <c r="I47" s="2" t="inlineStr"/>
      <c r="J47" s="2" t="inlineStr">
        <is>
          <t>c (technical report of released model)</t>
        </is>
      </c>
      <c r="K47" s="2" t="inlineStr"/>
      <c r="L47" s="2" t="inlineStr"/>
      <c r="M47" s="2" t="inlineStr">
        <is>
          <t>Yes</t>
        </is>
      </c>
      <c r="N47" s="3" t="inlineStr">
        <is>
          <t>Jan-nano</t>
        </is>
      </c>
      <c r="O47" s="3" t="inlineStr">
        <is>
          <t>Qwen3-4B</t>
        </is>
      </c>
      <c r="P47" s="3" t="inlineStr">
        <is>
          <t>Jan-nano, Jan-nano-128k</t>
        </is>
      </c>
      <c r="Q47" s="3" t="inlineStr">
        <is>
          <t>4B</t>
        </is>
      </c>
      <c r="R47" s="5" t="inlineStr">
        <is>
          <t>Moderate</t>
        </is>
      </c>
      <c r="S47" s="2" t="inlineStr">
        <is>
          <t>Moderate</t>
        </is>
      </c>
      <c r="T47" s="2" t="inlineStr">
        <is>
          <t>No</t>
        </is>
      </c>
      <c r="U47" s="2" t="inlineStr">
        <is>
          <t>Agentic AI Applications</t>
        </is>
      </c>
      <c r="V47" s="3" t="inlineStr">
        <is>
          <t>MuSiQue</t>
        </is>
      </c>
      <c r="W47" s="3" t="inlineStr">
        <is>
          <t>SimpleQA</t>
        </is>
      </c>
      <c r="X47" s="3" t="inlineStr">
        <is>
          <t>question answering</t>
        </is>
      </c>
      <c r="Y47" s="3" t="inlineStr">
        <is>
          <t>Introduction of Jan-nano, a specialized 4B parameter model that excels in information retrieval and tool utilization.</t>
        </is>
      </c>
      <c r="Z47" s="2" t="inlineStr">
        <is>
          <t>Singapore</t>
        </is>
      </c>
    </row>
    <row r="48">
      <c r="A48" s="2" t="n">
        <v>78</v>
      </c>
      <c r="B48" s="2" t="inlineStr">
        <is>
          <t>rstarmath</t>
        </is>
      </c>
      <c r="C48" s="2" t="inlineStr">
        <is>
          <t>Guan et al.</t>
        </is>
      </c>
      <c r="D48" s="3" t="inlineStr">
        <is>
          <t>rStar-Math: Small LLMs Can Master Math Reasoning with Self-Evolved Deep Thinking</t>
        </is>
      </c>
      <c r="E48" s="2" t="n">
        <v>2025</v>
      </c>
      <c r="F48" s="3" t="inlineStr">
        <is>
          <t>arXiv preprint arXiv:2501.04519</t>
        </is>
      </c>
      <c r="G48" s="4" t="inlineStr">
        <is>
          <t>https://proceedings.mlr.press/v267/guan25f.html</t>
        </is>
      </c>
      <c r="H48" s="2" t="inlineStr">
        <is>
          <t>Peer-reviewed</t>
        </is>
      </c>
      <c r="I48" s="2" t="inlineStr">
        <is>
          <t>Published version: ICML 2025</t>
        </is>
      </c>
      <c r="J48" s="2" t="inlineStr">
        <is>
          <t>Not applicable</t>
        </is>
      </c>
      <c r="K48" s="2" t="inlineStr"/>
      <c r="L48" s="2" t="inlineStr"/>
      <c r="M48" s="2" t="inlineStr"/>
      <c r="N48" s="3" t="inlineStr">
        <is>
          <t>rStar-Math</t>
        </is>
      </c>
      <c r="O48" s="3" t="inlineStr">
        <is>
          <t>Qwen2.5-Math-7B, Phi3-mini-3.8B, OpenAI o1-preview</t>
        </is>
      </c>
      <c r="P48" s="3" t="inlineStr">
        <is>
          <t>rStar-Math</t>
        </is>
      </c>
      <c r="Q48" s="3" t="inlineStr">
        <is>
          <t>7B (Qwen2.5-Math-7B), 3.8B (Phi3-mini)</t>
        </is>
      </c>
      <c r="R48" s="7" t="inlineStr">
        <is>
          <t>Higher</t>
        </is>
      </c>
      <c r="S48" s="2" t="inlineStr">
        <is>
          <t>Moderate; Higher</t>
        </is>
      </c>
      <c r="T48" s="2" t="inlineStr">
        <is>
          <t>Yes</t>
        </is>
      </c>
      <c r="U48" s="2" t="inlineStr">
        <is>
          <t>Agentic AI Applications</t>
        </is>
      </c>
      <c r="V48" s="3" t="inlineStr">
        <is>
          <t>747k math problems</t>
        </is>
      </c>
      <c r="W48" s="3" t="inlineStr">
        <is>
          <t>MATH benchmark, USA Math Olympiad (AIME)</t>
        </is>
      </c>
      <c r="X48" s="3" t="inlineStr">
        <is>
          <t>math reasoning</t>
        </is>
      </c>
      <c r="Y48" s="3" t="inlineStr">
        <is>
          <t>rStar-Math demonstrates that small language models can achieve state-of-the-art math reasoning capabilities through self-evolution and deep thinking.</t>
        </is>
      </c>
      <c r="Z48" s="2" t="inlineStr">
        <is>
          <t>China</t>
        </is>
      </c>
    </row>
    <row r="49">
      <c r="A49" s="2" t="n">
        <v>79</v>
      </c>
      <c r="B49" s="2" t="inlineStr">
        <is>
          <t>zhang2024strong</t>
        </is>
      </c>
      <c r="C49" s="2" t="inlineStr">
        <is>
          <t>Zhang et al.</t>
        </is>
      </c>
      <c r="D49" s="3" t="inlineStr">
        <is>
          <t>Small Language Models Need Strong Verifiers to Self-Correct Reasoning</t>
        </is>
      </c>
      <c r="E49" s="2" t="n">
        <v>2024</v>
      </c>
      <c r="F49" s="3" t="inlineStr">
        <is>
          <t>arXiv preprint arXiv:2404.17140</t>
        </is>
      </c>
      <c r="G49" s="4" t="inlineStr">
        <is>
          <t>https://doi.org/10.18653/v1/2024.findings-acl.924</t>
        </is>
      </c>
      <c r="H49" s="2" t="inlineStr">
        <is>
          <t>Peer-reviewed</t>
        </is>
      </c>
      <c r="I49" s="2" t="inlineStr">
        <is>
          <t>Published version: ACL 2024</t>
        </is>
      </c>
      <c r="J49" s="2" t="inlineStr">
        <is>
          <t>Not applicable</t>
        </is>
      </c>
      <c r="K49" s="2" t="inlineStr"/>
      <c r="L49" s="2" t="inlineStr"/>
      <c r="M49" s="2" t="inlineStr"/>
      <c r="N49" s="3" t="inlineStr">
        <is>
          <t>Strong-Verifiers</t>
        </is>
      </c>
      <c r="O49" s="3" t="inlineStr">
        <is>
          <t>GPT-4</t>
        </is>
      </c>
      <c r="P49" s="3" t="inlineStr">
        <is>
          <t>SCORE</t>
        </is>
      </c>
      <c r="Q49" s="3" t="inlineStr">
        <is>
          <t>7B (Gemma-7B; LLaMA-2-13B also tested)</t>
        </is>
      </c>
      <c r="R49" s="7" t="inlineStr">
        <is>
          <t>Higher</t>
        </is>
      </c>
      <c r="S49" s="2" t="inlineStr">
        <is>
          <t>Higher</t>
        </is>
      </c>
      <c r="T49" s="2" t="inlineStr">
        <is>
          <t>Yes</t>
        </is>
      </c>
      <c r="U49" s="2" t="inlineStr">
        <is>
          <t>Agentic AI Applications</t>
        </is>
      </c>
      <c r="V49" s="3" t="inlineStr">
        <is>
          <t>N/A</t>
        </is>
      </c>
      <c r="W49" s="3" t="inlineStr">
        <is>
          <t>five datasets spanning math and commonsense reasoning</t>
        </is>
      </c>
      <c r="X49" s="3" t="inlineStr">
        <is>
          <t>self-correction, reasoning</t>
        </is>
      </c>
      <c r="Y49" s="3" t="inlineStr">
        <is>
          <t>The paper proposes a novel pipeline for small language models to enhance their self-correction abilities without relying on larger models.</t>
        </is>
      </c>
      <c r="Z49" s="2" t="inlineStr">
        <is>
          <t>United States</t>
        </is>
      </c>
    </row>
    <row r="50">
      <c r="A50" s="2" t="n">
        <v>80</v>
      </c>
      <c r="B50" s="2" t="inlineStr">
        <is>
          <t>R3</t>
        </is>
      </c>
      <c r="C50" s="2" t="inlineStr">
        <is>
          <t>Wang et al.</t>
        </is>
      </c>
      <c r="D50" s="3" t="inlineStr">
        <is>
          <t>Reflect, Rewrite, Repeat: How Simple Arithmetic Enables Advanced Reasoning in Small Language Models</t>
        </is>
      </c>
      <c r="E50" s="2" t="n">
        <v>2026</v>
      </c>
      <c r="F50" s="3" t="inlineStr">
        <is>
          <t>Findings of the Association for Computational Linguistics: EACL 2026</t>
        </is>
      </c>
      <c r="G50" s="4" t="inlineStr">
        <is>
          <t>https://doi.org/10.18653/v1/2026.findings-eacl.69</t>
        </is>
      </c>
      <c r="H50" s="2" t="inlineStr">
        <is>
          <t>Peer-reviewed</t>
        </is>
      </c>
      <c r="I50" s="2" t="inlineStr"/>
      <c r="J50" s="2" t="inlineStr">
        <is>
          <t>Not applicable</t>
        </is>
      </c>
      <c r="K50" s="2" t="inlineStr"/>
      <c r="L50" s="2" t="inlineStr"/>
      <c r="M50" s="2" t="inlineStr"/>
      <c r="N50" s="3" t="inlineStr">
        <is>
          <t>Reflect-Rewrite-Repeat</t>
        </is>
      </c>
      <c r="O50" s="3" t="inlineStr">
        <is>
          <t>Qwen 2.5, Qwen 2.5 Math, Mistral, LLaMA</t>
        </is>
      </c>
      <c r="P50" s="3" t="inlineStr">
        <is>
          <t>N/A</t>
        </is>
      </c>
      <c r="Q50" s="3" t="inlineStr">
        <is>
          <t>7B</t>
        </is>
      </c>
      <c r="R50" s="7" t="inlineStr">
        <is>
          <t>Higher</t>
        </is>
      </c>
      <c r="S50" s="2" t="inlineStr">
        <is>
          <t>Higher</t>
        </is>
      </c>
      <c r="T50" s="2" t="inlineStr">
        <is>
          <t>Yes</t>
        </is>
      </c>
      <c r="U50" s="2" t="inlineStr">
        <is>
          <t>Agentic AI Applications</t>
        </is>
      </c>
      <c r="V50" s="3" t="inlineStr">
        <is>
          <t>700 basic arithmetic training samples</t>
        </is>
      </c>
      <c r="W50" s="3" t="inlineStr">
        <is>
          <t>GSM8K, AIME’25@10, LastLetterConcat</t>
        </is>
      </c>
      <c r="X50" s="3" t="inlineStr">
        <is>
          <t>arithmetic reasoning, symbolic reasoning, cognitive reasoning</t>
        </is>
      </c>
      <c r="Y50" s="3" t="inlineStr">
        <is>
          <t>Introduction of the R3 framework that improves reasoning capabilities with minimal data and resources.</t>
        </is>
      </c>
      <c r="Z50" s="2" t="inlineStr">
        <is>
          <t>United States</t>
        </is>
      </c>
    </row>
    <row r="51">
      <c r="A51" s="2" t="n">
        <v>81</v>
      </c>
      <c r="B51" s="2" t="inlineStr">
        <is>
          <t>dang2026rl</t>
        </is>
      </c>
      <c r="C51" s="2" t="inlineStr">
        <is>
          <t>Dang et al.</t>
        </is>
      </c>
      <c r="D51" s="3" t="inlineStr">
        <is>
          <t>Reinforcement Learning for Reasoning in Small LLMs: What Works and What Doesn't</t>
        </is>
      </c>
      <c r="E51" s="2" t="n">
        <v>2026</v>
      </c>
      <c r="F51" s="3" t="inlineStr">
        <is>
          <t>arXiv preprint arXiv:2503.16219</t>
        </is>
      </c>
      <c r="G51" s="4" t="inlineStr">
        <is>
          <t>https://arxiv.org/abs/2503.16219</t>
        </is>
      </c>
      <c r="H51" s="2" t="inlineStr">
        <is>
          <t>Preprint</t>
        </is>
      </c>
      <c r="I51" s="2" t="inlineStr"/>
      <c r="J51" s="2" t="inlineStr">
        <is>
          <t>b (79)</t>
        </is>
      </c>
      <c r="K51" s="2" t="inlineStr"/>
      <c r="L51" s="2" t="inlineStr">
        <is>
          <t>Yes</t>
        </is>
      </c>
      <c r="M51" s="2" t="inlineStr"/>
      <c r="N51" s="3" t="inlineStr">
        <is>
          <t>RL-Reasoning</t>
        </is>
      </c>
      <c r="O51" s="3" t="inlineStr">
        <is>
          <t>DeepSeek-R1-Distill-Qwen-1.5B</t>
        </is>
      </c>
      <c r="P51" s="3" t="inlineStr">
        <is>
          <t>N/A</t>
        </is>
      </c>
      <c r="Q51" s="3" t="inlineStr">
        <is>
          <t>1.5B</t>
        </is>
      </c>
      <c r="R51" s="5" t="inlineStr">
        <is>
          <t>Moderate</t>
        </is>
      </c>
      <c r="S51" s="2" t="inlineStr">
        <is>
          <t>Moderate</t>
        </is>
      </c>
      <c r="T51" s="2" t="inlineStr">
        <is>
          <t>No</t>
        </is>
      </c>
      <c r="U51" s="2" t="inlineStr">
        <is>
          <t>Agentic AI Applications</t>
        </is>
      </c>
      <c r="V51" s="3" t="inlineStr">
        <is>
          <t>N/A</t>
        </is>
      </c>
      <c r="W51" s="3" t="inlineStr">
        <is>
          <t>AMC23, AIME24</t>
        </is>
      </c>
      <c r="X51" s="3" t="inlineStr">
        <is>
          <t>reasoning</t>
        </is>
      </c>
      <c r="Y51" s="3" t="inlineStr">
        <is>
          <t>The study demonstrates the efficacy of reinforcement learning for enhancing reasoning capabilities in small LLMs under strict resource constraints.</t>
        </is>
      </c>
      <c r="Z51" s="2" t="inlineStr">
        <is>
          <t>Vietnam</t>
        </is>
      </c>
    </row>
    <row r="52">
      <c r="A52" s="2" t="n">
        <v>82</v>
      </c>
      <c r="B52" s="2" t="inlineStr">
        <is>
          <t>qchunker</t>
        </is>
      </c>
      <c r="C52" s="2" t="inlineStr">
        <is>
          <t>Zhao et al.</t>
        </is>
      </c>
      <c r="D52" s="3" t="inlineStr">
        <is>
          <t>QChunker: Learning Question-Aware Text Chunking for Domain RAG via Multi-Agent Debate</t>
        </is>
      </c>
      <c r="E52" s="2" t="n">
        <v>2026</v>
      </c>
      <c r="F52" s="3" t="inlineStr">
        <is>
          <t>arXiv preprint arXiv:2603.11650</t>
        </is>
      </c>
      <c r="G52" s="4" t="inlineStr">
        <is>
          <t>https://arxiv.org/abs/2603.11650</t>
        </is>
      </c>
      <c r="H52" s="2" t="inlineStr">
        <is>
          <t>Peer-reviewed</t>
        </is>
      </c>
      <c r="I52" s="2" t="inlineStr">
        <is>
          <t>Published version: WWW 2026</t>
        </is>
      </c>
      <c r="J52" s="2" t="inlineStr">
        <is>
          <t>Not applicable</t>
        </is>
      </c>
      <c r="K52" s="2" t="inlineStr"/>
      <c r="L52" s="2" t="inlineStr"/>
      <c r="M52" s="2" t="inlineStr"/>
      <c r="N52" s="3" t="inlineStr">
        <is>
          <t>QChunker</t>
        </is>
      </c>
      <c r="O52" s="3" t="inlineStr">
        <is>
          <t>N/A</t>
        </is>
      </c>
      <c r="P52" s="3" t="inlineStr">
        <is>
          <t>QChunker</t>
        </is>
      </c>
      <c r="Q52" s="3" t="inlineStr">
        <is>
          <t>3B (Chunker-3B); Qwen2.5/Qwen3 up to 14B</t>
        </is>
      </c>
      <c r="R52" s="5" t="inlineStr">
        <is>
          <t>Moderate</t>
        </is>
      </c>
      <c r="S52" s="2" t="inlineStr">
        <is>
          <t>Moderate</t>
        </is>
      </c>
      <c r="T52" s="2" t="inlineStr">
        <is>
          <t>No</t>
        </is>
      </c>
      <c r="U52" s="2" t="inlineStr">
        <is>
          <t>Agentic AI Applications</t>
        </is>
      </c>
      <c r="V52" s="3" t="inlineStr">
        <is>
          <t>45K entries dataset</t>
        </is>
      </c>
      <c r="W52" s="3" t="inlineStr">
        <is>
          <t>small-domain QA dataset concerning hazardous chemical safety</t>
        </is>
      </c>
      <c r="X52" s="3" t="inlineStr">
        <is>
          <t>text chunking, question answering</t>
        </is>
      </c>
      <c r="Y52" s="3" t="inlineStr">
        <is>
          <t>The paper proposes QChunker, a framework that enhances retrieval-augmented generation by improving text chunking through a multi-agent debate approach.</t>
        </is>
      </c>
      <c r="Z52" s="2" t="inlineStr">
        <is>
          <t>China</t>
        </is>
      </c>
    </row>
    <row r="53">
      <c r="A53" s="2" t="n">
        <v>83</v>
      </c>
      <c r="B53" s="2" t="inlineStr">
        <is>
          <t>roh2026clag</t>
        </is>
      </c>
      <c r="C53" s="2" t="inlineStr">
        <is>
          <t>Roh et al.</t>
        </is>
      </c>
      <c r="D53" s="3" t="inlineStr">
        <is>
          <t>CLAG: Adaptive Memory Organization via Agent-Driven Clustering for Small Language Model Agents</t>
        </is>
      </c>
      <c r="E53" s="2" t="n">
        <v>2026</v>
      </c>
      <c r="F53" s="3" t="inlineStr">
        <is>
          <t>arXiv preprint arXiv:2603.15421</t>
        </is>
      </c>
      <c r="G53" s="4" t="inlineStr">
        <is>
          <t>https://doi.org/10.18653/v1/2026.findings-acl.824</t>
        </is>
      </c>
      <c r="H53" s="2" t="inlineStr">
        <is>
          <t>Peer-reviewed</t>
        </is>
      </c>
      <c r="I53" s="2" t="inlineStr">
        <is>
          <t>Published version: ACL 2026</t>
        </is>
      </c>
      <c r="J53" s="2" t="inlineStr">
        <is>
          <t>Not applicable</t>
        </is>
      </c>
      <c r="K53" s="2" t="inlineStr"/>
      <c r="L53" s="2" t="inlineStr"/>
      <c r="M53" s="2" t="inlineStr"/>
      <c r="N53" s="3" t="inlineStr">
        <is>
          <t>CLAG</t>
        </is>
      </c>
      <c r="O53" s="3" t="inlineStr">
        <is>
          <t>Qwen3-0.6B</t>
        </is>
      </c>
      <c r="P53" s="3" t="inlineStr">
        <is>
          <t>CLAG (agent-driven clustered memory)</t>
        </is>
      </c>
      <c r="Q53" s="3" t="inlineStr">
        <is>
          <t>0.6B (Qwen3-0.6B)</t>
        </is>
      </c>
      <c r="R53" s="6" t="inlineStr">
        <is>
          <t>Compact</t>
        </is>
      </c>
      <c r="S53" s="2" t="inlineStr">
        <is>
          <t>Compact</t>
        </is>
      </c>
      <c r="T53" s="2" t="inlineStr">
        <is>
          <t>No</t>
        </is>
      </c>
      <c r="U53" s="2" t="inlineStr">
        <is>
          <t>Agentic AI Applications</t>
        </is>
      </c>
      <c r="V53" s="3" t="inlineStr">
        <is>
          <t>N/A</t>
        </is>
      </c>
      <c r="W53" s="3" t="inlineStr">
        <is>
          <t>LoCoMo, HotpotQA</t>
        </is>
      </c>
      <c r="X53" s="3" t="inlineStr">
        <is>
          <t>Agent memory organization and retrieval (long-horizon QA)</t>
        </is>
      </c>
      <c r="Y53" s="3" t="inlineStr">
        <is>
          <t>Introduction of CLAG, a clustering-based agentic memory framework that enhances memory organization for small language models.</t>
        </is>
      </c>
      <c r="Z53" s="2" t="inlineStr">
        <is>
          <t>South Korea</t>
        </is>
      </c>
    </row>
    <row r="54">
      <c r="A54" s="2" t="n">
        <v>84</v>
      </c>
      <c r="B54" s="2" t="inlineStr">
        <is>
          <t>do-etal-2026-conras</t>
        </is>
      </c>
      <c r="C54" s="2" t="inlineStr">
        <is>
          <t>Do et al.</t>
        </is>
      </c>
      <c r="D54" s="3" t="inlineStr">
        <is>
          <t>ConRAS: Contrastive In-context Learning Framework for Retrieval-Augmented Summarization</t>
        </is>
      </c>
      <c r="E54" s="2" t="n">
        <v>2026</v>
      </c>
      <c r="F54" s="3" t="inlineStr">
        <is>
          <t>Findings of the Association for Computational Linguistics: EACL 2026</t>
        </is>
      </c>
      <c r="G54" s="4" t="inlineStr">
        <is>
          <t>https://doi.org/10.18653/v1/2026.findings-eacl.255</t>
        </is>
      </c>
      <c r="H54" s="2" t="inlineStr">
        <is>
          <t>Peer-reviewed</t>
        </is>
      </c>
      <c r="I54" s="2" t="inlineStr"/>
      <c r="J54" s="2" t="inlineStr">
        <is>
          <t>Not applicable</t>
        </is>
      </c>
      <c r="K54" s="2" t="inlineStr"/>
      <c r="L54" s="2" t="inlineStr"/>
      <c r="M54" s="2" t="inlineStr"/>
      <c r="N54" s="3" t="inlineStr">
        <is>
          <t>ConRAS</t>
        </is>
      </c>
      <c r="O54" s="3" t="inlineStr">
        <is>
          <t>small language models (SLMs)</t>
        </is>
      </c>
      <c r="P54" s="3" t="inlineStr">
        <is>
          <t>ConRAS</t>
        </is>
      </c>
      <c r="Q54" s="3" t="inlineStr">
        <is>
          <t>1B–4B (Llama-3.2-1B/3B, Qwen3-1.7B/4B)</t>
        </is>
      </c>
      <c r="R54" s="5" t="inlineStr">
        <is>
          <t>Moderate</t>
        </is>
      </c>
      <c r="S54" s="2" t="inlineStr">
        <is>
          <t>Moderate</t>
        </is>
      </c>
      <c r="T54" s="2" t="inlineStr">
        <is>
          <t>No</t>
        </is>
      </c>
      <c r="U54" s="2" t="inlineStr">
        <is>
          <t>Agentic AI Applications</t>
        </is>
      </c>
      <c r="V54" s="3" t="inlineStr">
        <is>
          <t>N/A</t>
        </is>
      </c>
      <c r="W54" s="3" t="inlineStr">
        <is>
          <t>three summarization benchmarks</t>
        </is>
      </c>
      <c r="X54" s="3" t="inlineStr">
        <is>
          <t>retrieval-augmented summarization</t>
        </is>
      </c>
      <c r="Y54" s="3" t="inlineStr">
        <is>
          <t>The paper proposes ConRAS, a novel framework that injects contrastive objectives into ICL-based retrieval-augmented summarization, demonstrating significant improvements in summary quality.</t>
        </is>
      </c>
      <c r="Z54" s="2" t="inlineStr">
        <is>
          <t>South Korea</t>
        </is>
      </c>
    </row>
    <row r="55">
      <c r="A55" s="2" t="n">
        <v>86</v>
      </c>
      <c r="B55" s="2" t="inlineStr">
        <is>
          <t>wu2026tinycriticrag</t>
        </is>
      </c>
      <c r="C55" s="2" t="inlineStr">
        <is>
          <t>Wu et al.</t>
        </is>
      </c>
      <c r="D55" s="3" t="inlineStr">
        <is>
          <t>Tiny-Critic RAG: Empowering Agentic Fallback with Parameter-Efficient Small Language Models</t>
        </is>
      </c>
      <c r="E55" s="2" t="n">
        <v>2026</v>
      </c>
      <c r="F55" s="3" t="inlineStr">
        <is>
          <t>arXiv preprint arXiv:2603.00846</t>
        </is>
      </c>
      <c r="G55" s="4" t="inlineStr">
        <is>
          <t>https://doi.org/10.1109/ICAACE69793.2026.11508939</t>
        </is>
      </c>
      <c r="H55" s="2" t="inlineStr">
        <is>
          <t>Peer-reviewed</t>
        </is>
      </c>
      <c r="I55" s="2" t="inlineStr">
        <is>
          <t>Published version: ICAACE 2026 (IEEE)</t>
        </is>
      </c>
      <c r="J55" s="2" t="inlineStr">
        <is>
          <t>Not applicable</t>
        </is>
      </c>
      <c r="K55" s="2" t="inlineStr"/>
      <c r="L55" s="2" t="inlineStr"/>
      <c r="M55" s="2" t="inlineStr"/>
      <c r="N55" s="3" t="inlineStr">
        <is>
          <t>Tiny-Critic RAG</t>
        </is>
      </c>
      <c r="O55" s="3" t="inlineStr">
        <is>
          <t>GPT-4, T5-Large, Qwen-1.7B</t>
        </is>
      </c>
      <c r="P55" s="3" t="inlineStr">
        <is>
          <t>Tiny-Critic RAG</t>
        </is>
      </c>
      <c r="Q55" s="3" t="inlineStr">
        <is>
          <t>1.7B</t>
        </is>
      </c>
      <c r="R55" s="5" t="inlineStr">
        <is>
          <t>Moderate</t>
        </is>
      </c>
      <c r="S55" s="2" t="inlineStr">
        <is>
          <t>Moderate</t>
        </is>
      </c>
      <c r="T55" s="2" t="inlineStr">
        <is>
          <t>No</t>
        </is>
      </c>
      <c r="U55" s="2" t="inlineStr">
        <is>
          <t>Agentic AI Applications</t>
        </is>
      </c>
      <c r="V55" s="3" t="inlineStr">
        <is>
          <t>N/A</t>
        </is>
      </c>
      <c r="W55" s="3" t="inlineStr">
        <is>
          <t>noise-injected datasets</t>
        </is>
      </c>
      <c r="X55" s="3" t="inlineStr">
        <is>
          <t>retrieval-augmented generation, multi-hop reasoning</t>
        </is>
      </c>
      <c r="Y55" s="3" t="inlineStr">
        <is>
          <t>The paper proposes Tiny-Critic RAG, a framework that uses a parameter-efficient Small Language Model to improve routing accuracy and reduce latency in retrieval-augmented generation.</t>
        </is>
      </c>
      <c r="Z55" s="2" t="inlineStr">
        <is>
          <t>United States</t>
        </is>
      </c>
    </row>
    <row r="56">
      <c r="A56" s="2" t="n">
        <v>87</v>
      </c>
      <c r="B56" s="2" t="inlineStr">
        <is>
          <t>pham2025slimlm</t>
        </is>
      </c>
      <c r="C56" s="2" t="inlineStr">
        <is>
          <t>Pham et al.</t>
        </is>
      </c>
      <c r="D56" s="3" t="inlineStr">
        <is>
          <t>SlimLM: An Efficient Small Language Model for On-Device Document Assistance</t>
        </is>
      </c>
      <c r="E56" s="2" t="n">
        <v>2024</v>
      </c>
      <c r="F56" s="3" t="inlineStr">
        <is>
          <t>arXiv preprint arXiv:2411.09944</t>
        </is>
      </c>
      <c r="G56" s="4" t="inlineStr">
        <is>
          <t>https://doi.org/10.18653/v1/2025.acl-demo.42</t>
        </is>
      </c>
      <c r="H56" s="2" t="inlineStr">
        <is>
          <t>Peer-reviewed</t>
        </is>
      </c>
      <c r="I56" s="2" t="inlineStr">
        <is>
          <t>Published version: ACL 2025 (System Demonstrations)</t>
        </is>
      </c>
      <c r="J56" s="2" t="inlineStr">
        <is>
          <t>Not applicable</t>
        </is>
      </c>
      <c r="K56" s="2" t="n"/>
      <c r="L56" s="2" t="n"/>
      <c r="M56" s="2" t="n"/>
      <c r="N56" s="3" t="inlineStr">
        <is>
          <t>SlimLM</t>
        </is>
      </c>
      <c r="O56" s="3" t="inlineStr">
        <is>
          <t>N/A</t>
        </is>
      </c>
      <c r="P56" s="3" t="inlineStr">
        <is>
          <t>SlimLM-125M, SlimLM-1B</t>
        </is>
      </c>
      <c r="Q56" s="3" t="inlineStr">
        <is>
          <t>125M, 1B</t>
        </is>
      </c>
      <c r="R56" s="6" t="inlineStr">
        <is>
          <t>Compact</t>
        </is>
      </c>
      <c r="S56" s="2" t="inlineStr">
        <is>
          <t>Compact; Moderate</t>
        </is>
      </c>
      <c r="T56" s="2" t="inlineStr">
        <is>
          <t>No</t>
        </is>
      </c>
      <c r="U56" s="2" t="inlineStr">
        <is>
          <t>Agentic AI Applications</t>
        </is>
      </c>
      <c r="V56" s="3" t="inlineStr">
        <is>
          <t>SlimPajama-627B, DocAssist</t>
        </is>
      </c>
      <c r="W56" s="3" t="inlineStr">
        <is>
          <t>N/A</t>
        </is>
      </c>
      <c r="X56" s="3" t="inlineStr">
        <is>
          <t>summarization, question answering, question suggestion</t>
        </is>
      </c>
      <c r="Y56" s="3" t="inlineStr">
        <is>
          <t>SlimLM models are optimized for efficient on-device processing of document assistance tasks on mobile devices.</t>
        </is>
      </c>
      <c r="Z56" s="2" t="inlineStr">
        <is>
          <t>United States</t>
        </is>
      </c>
    </row>
    <row r="57">
      <c r="A57" s="2" t="n">
        <v>88</v>
      </c>
      <c r="B57" s="2" t="inlineStr">
        <is>
          <t>zonui3b</t>
        </is>
      </c>
      <c r="C57" s="2" t="inlineStr">
        <is>
          <t>Hsieh et al.</t>
        </is>
      </c>
      <c r="D57" s="3" t="inlineStr">
        <is>
          <t>ZonUI-3B: Competitive GUI Grounding with a 3B VLM Trained on a Single Consumer GPU</t>
        </is>
      </c>
      <c r="E57" s="2" t="n">
        <v>2026</v>
      </c>
      <c r="F57" s="3" t="inlineStr">
        <is>
          <t>WACV 2026 (IEEE/CVF)</t>
        </is>
      </c>
      <c r="G57" s="4" t="inlineStr">
        <is>
          <t>https://arxiv.org/abs/2506.23491</t>
        </is>
      </c>
      <c r="H57" s="2" t="inlineStr">
        <is>
          <t>Peer-reviewed</t>
        </is>
      </c>
      <c r="I57" s="2" t="inlineStr"/>
      <c r="J57" s="2" t="inlineStr">
        <is>
          <t>Not applicable</t>
        </is>
      </c>
      <c r="K57" s="2" t="inlineStr"/>
      <c r="L57" s="2" t="inlineStr"/>
      <c r="M57" s="2" t="inlineStr"/>
      <c r="N57" s="3" t="inlineStr">
        <is>
          <t>ZonUI-3B</t>
        </is>
      </c>
      <c r="O57" s="3" t="inlineStr">
        <is>
          <t>Qwen2.5-VL-3B (base)</t>
        </is>
      </c>
      <c r="P57" s="3" t="inlineStr">
        <is>
          <t>ZonUI-3B</t>
        </is>
      </c>
      <c r="Q57" s="3" t="inlineStr">
        <is>
          <t>3B</t>
        </is>
      </c>
      <c r="R57" s="5" t="inlineStr">
        <is>
          <t>Moderate</t>
        </is>
      </c>
      <c r="S57" s="2" t="inlineStr">
        <is>
          <t>Moderate</t>
        </is>
      </c>
      <c r="T57" s="2" t="inlineStr">
        <is>
          <t>No</t>
        </is>
      </c>
      <c r="U57" s="2" t="inlineStr">
        <is>
          <t>Agentic AI Applications</t>
        </is>
      </c>
      <c r="V57" s="3" t="inlineStr">
        <is>
          <t>24K cross-platform GUI screenshots (mobile, desktop, web)</t>
        </is>
      </c>
      <c r="W57" s="3" t="inlineStr">
        <is>
          <t>ScreenSpot, ScreenSpot-v2, ScreenSpot-Pro</t>
        </is>
      </c>
      <c r="X57" s="3" t="inlineStr">
        <is>
          <t>GUI grounding</t>
        </is>
      </c>
      <c r="Y57" s="3" t="inlineStr">
        <is>
          <t>3B VLM trained on a single RTX 4090 reaches 84.9% (ScreenSpot) and 86.4% (ScreenSpot-v2), best among models under 4B</t>
        </is>
      </c>
      <c r="Z57" s="2" t="inlineStr">
        <is>
          <t>Taiwan</t>
        </is>
      </c>
    </row>
    <row r="58">
      <c r="A58" s="2" t="n">
        <v>89</v>
      </c>
      <c r="B58" s="2" t="inlineStr">
        <is>
          <t>liang2025cmatmultiagentcollaborationtuning</t>
        </is>
      </c>
      <c r="C58" s="2" t="inlineStr">
        <is>
          <t>Liang et al.</t>
        </is>
      </c>
      <c r="D58" s="3" t="inlineStr">
        <is>
          <t>CMAT: A Multi-Agent Collaboration Tuning Framework for Enhancing Small Language Models</t>
        </is>
      </c>
      <c r="E58" s="2" t="n">
        <v>2025</v>
      </c>
      <c r="F58" s="3" t="inlineStr">
        <is>
          <t>arXiv preprint arXiv:2404.01663</t>
        </is>
      </c>
      <c r="G58" s="4" t="inlineStr">
        <is>
          <t>https://arxiv.org/abs/2404.01663</t>
        </is>
      </c>
      <c r="H58" s="2" t="inlineStr">
        <is>
          <t>Preprint</t>
        </is>
      </c>
      <c r="I58" s="2" t="inlineStr"/>
      <c r="J58" s="2" t="inlineStr">
        <is>
          <t>b (31)</t>
        </is>
      </c>
      <c r="K58" s="2" t="inlineStr"/>
      <c r="L58" s="2" t="inlineStr">
        <is>
          <t>Yes</t>
        </is>
      </c>
      <c r="M58" s="2" t="inlineStr"/>
      <c r="N58" s="3" t="inlineStr">
        <is>
          <t>CMAT</t>
        </is>
      </c>
      <c r="O58" s="3" t="inlineStr">
        <is>
          <t>BERT, GPT-4, Qwen, Codellama</t>
        </is>
      </c>
      <c r="P58" s="3" t="inlineStr">
        <is>
          <t>TinyAgent-7B</t>
        </is>
      </c>
      <c r="Q58" s="3" t="inlineStr">
        <is>
          <t>7B</t>
        </is>
      </c>
      <c r="R58" s="7" t="inlineStr">
        <is>
          <t>Higher</t>
        </is>
      </c>
      <c r="S58" s="2" t="inlineStr">
        <is>
          <t>Higher</t>
        </is>
      </c>
      <c r="T58" s="2" t="inlineStr">
        <is>
          <t>Yes</t>
        </is>
      </c>
      <c r="U58" s="2" t="inlineStr">
        <is>
          <t>Agentic AI Applications</t>
        </is>
      </c>
      <c r="V58" s="3" t="inlineStr">
        <is>
          <t>N/A</t>
        </is>
      </c>
      <c r="W58" s="3" t="inlineStr">
        <is>
          <t>N/A</t>
        </is>
      </c>
      <c r="X58" s="3" t="inlineStr">
        <is>
          <t>dialogue management, language model fine-tuning</t>
        </is>
      </c>
      <c r="Y58" s="3" t="inlineStr">
        <is>
          <t>Introduction of the Collaborative Multi-Agent Tuning framework and the TinyAgent model that enhances small language models' performance.</t>
        </is>
      </c>
      <c r="Z58" s="2" t="inlineStr">
        <is>
          <t>China</t>
        </is>
      </c>
    </row>
    <row r="59">
      <c r="A59" s="2" t="n">
        <v>90</v>
      </c>
      <c r="B59" s="2" t="inlineStr">
        <is>
          <t>tan2024smallmodelsbiginsights</t>
        </is>
      </c>
      <c r="C59" s="2" t="inlineStr">
        <is>
          <t>Tan et al.</t>
        </is>
      </c>
      <c r="D59" s="3" t="inlineStr">
        <is>
          <t>Small Models, Big Insights: Leveraging Slim Proxy Models To Decide When and What to Retrieve for LLMs</t>
        </is>
      </c>
      <c r="E59" s="2" t="n">
        <v>2024</v>
      </c>
      <c r="F59" s="3" t="inlineStr">
        <is>
          <t>arXiv preprint arXiv:2402.12052</t>
        </is>
      </c>
      <c r="G59" s="4" t="inlineStr">
        <is>
          <t>https://doi.org/10.18653/v1/2024.acl-long.242</t>
        </is>
      </c>
      <c r="H59" s="2" t="inlineStr">
        <is>
          <t>Peer-reviewed</t>
        </is>
      </c>
      <c r="I59" s="2" t="inlineStr">
        <is>
          <t>Published version: ACL 2024</t>
        </is>
      </c>
      <c r="J59" s="2" t="inlineStr">
        <is>
          <t>Not applicable</t>
        </is>
      </c>
      <c r="K59" s="2" t="inlineStr"/>
      <c r="L59" s="2" t="inlineStr"/>
      <c r="M59" s="2" t="inlineStr"/>
      <c r="N59" s="3" t="inlineStr">
        <is>
          <t>SlimPLM</t>
        </is>
      </c>
      <c r="O59" s="3" t="inlineStr">
        <is>
          <t>N/A</t>
        </is>
      </c>
      <c r="P59" s="3" t="inlineStr">
        <is>
          <t>SlimPLM</t>
        </is>
      </c>
      <c r="Q59" s="3" t="inlineStr">
        <is>
          <t>1.1B (small model); Llama2-7B/70B, Qwen-7B/72B as LLMs</t>
        </is>
      </c>
      <c r="R59" s="5" t="inlineStr">
        <is>
          <t>Moderate</t>
        </is>
      </c>
      <c r="S59" s="2" t="inlineStr">
        <is>
          <t>Moderate</t>
        </is>
      </c>
      <c r="T59" s="2" t="inlineStr">
        <is>
          <t>No</t>
        </is>
      </c>
      <c r="U59" s="2" t="inlineStr">
        <is>
          <t>Agentic AI Applications</t>
        </is>
      </c>
      <c r="V59" s="3" t="inlineStr">
        <is>
          <t>N/A</t>
        </is>
      </c>
      <c r="W59" s="3" t="inlineStr">
        <is>
          <t>five datasets</t>
        </is>
      </c>
      <c r="X59" s="3" t="inlineStr">
        <is>
          <t>question-answering</t>
        </is>
      </c>
      <c r="Y59" s="3" t="inlineStr">
        <is>
          <t>Introduction of a novel collaborative approach, SlimPLM, that detects missing knowledge in LLMs using a slim proxy model.</t>
        </is>
      </c>
      <c r="Z59" s="2" t="inlineStr">
        <is>
          <t>China</t>
        </is>
      </c>
    </row>
    <row r="60">
      <c r="A60" s="2" t="n">
        <v>91</v>
      </c>
      <c r="B60" s="2" t="inlineStr">
        <is>
          <t>zhao2023lingualinked</t>
        </is>
      </c>
      <c r="C60" s="2" t="inlineStr">
        <is>
          <t>Zhao et al.</t>
        </is>
      </c>
      <c r="D60" s="3" t="inlineStr">
        <is>
          <t>LinguaLinked: A Distributed Large Language Model Inference System for Mobile Devices</t>
        </is>
      </c>
      <c r="E60" s="2" t="n">
        <v>2023</v>
      </c>
      <c r="F60" s="3" t="inlineStr">
        <is>
          <t>arXiv preprint arXiv:2312.00388</t>
        </is>
      </c>
      <c r="G60" s="4" t="inlineStr">
        <is>
          <t>https://arxiv.org/abs/2312.00388</t>
        </is>
      </c>
      <c r="H60" s="2" t="inlineStr">
        <is>
          <t>Preprint</t>
        </is>
      </c>
      <c r="I60" s="2" t="inlineStr"/>
      <c r="J60" s="2" t="inlineStr">
        <is>
          <t>b (12)</t>
        </is>
      </c>
      <c r="K60" s="2" t="inlineStr"/>
      <c r="L60" s="2" t="inlineStr">
        <is>
          <t>Yes</t>
        </is>
      </c>
      <c r="M60" s="2" t="inlineStr"/>
      <c r="N60" s="3" t="inlineStr">
        <is>
          <t>LinguaLinked</t>
        </is>
      </c>
      <c r="O60" s="3" t="inlineStr">
        <is>
          <t>Vicuna-13B</t>
        </is>
      </c>
      <c r="P60" s="3" t="inlineStr">
        <is>
          <t>LinguaLinked</t>
        </is>
      </c>
      <c r="Q60" s="3" t="inlineStr">
        <is>
          <t>1.1B–3B (BLOOM)</t>
        </is>
      </c>
      <c r="R60" s="5" t="inlineStr">
        <is>
          <t>Moderate</t>
        </is>
      </c>
      <c r="S60" s="2" t="inlineStr">
        <is>
          <t>Moderate</t>
        </is>
      </c>
      <c r="T60" s="2" t="inlineStr">
        <is>
          <t>No</t>
        </is>
      </c>
      <c r="U60" s="2" t="inlineStr">
        <is>
          <t>Agentic AI Applications</t>
        </is>
      </c>
      <c r="V60" s="3" t="inlineStr">
        <is>
          <t>N/A</t>
        </is>
      </c>
      <c r="W60" s="3" t="inlineStr">
        <is>
          <t>N/A</t>
        </is>
      </c>
      <c r="X60" s="3" t="inlineStr">
        <is>
          <t>inference, text generation, question answering, machine translation, text summarization</t>
        </is>
      </c>
      <c r="Y60" s="3" t="inlineStr">
        <is>
          <t>Introduction of LinguaLinked, a system for decentralized, distributed LLM inference on mobile devices that enhances efficiency and maintains data privacy.</t>
        </is>
      </c>
      <c r="Z60" s="2" t="inlineStr">
        <is>
          <t>United States</t>
        </is>
      </c>
    </row>
    <row r="61">
      <c r="A61" s="2" t="n">
        <v>92</v>
      </c>
      <c r="B61" s="2" t="inlineStr">
        <is>
          <t>wu2024</t>
        </is>
      </c>
      <c r="C61" s="2" t="inlineStr">
        <is>
          <t>Wu et al.</t>
        </is>
      </c>
      <c r="D61" s="3" t="inlineStr">
        <is>
          <t>Could Small Language Models Serve as Recommenders? Towards Data-centric Cold-start Recommendations</t>
        </is>
      </c>
      <c r="E61" s="2" t="n">
        <v>2024</v>
      </c>
      <c r="F61" s="3" t="inlineStr">
        <is>
          <t>Proceedings of the ACM Web Conference 2024</t>
        </is>
      </c>
      <c r="G61" s="4" t="inlineStr">
        <is>
          <t>https://arxiv.org/abs/2306.17256</t>
        </is>
      </c>
      <c r="H61" s="2" t="inlineStr">
        <is>
          <t>Peer-reviewed</t>
        </is>
      </c>
      <c r="I61" s="2" t="inlineStr"/>
      <c r="J61" s="2" t="inlineStr">
        <is>
          <t>Not applicable</t>
        </is>
      </c>
      <c r="K61" s="2" t="inlineStr"/>
      <c r="L61" s="2" t="inlineStr"/>
      <c r="M61" s="2" t="inlineStr"/>
      <c r="N61" s="3" t="inlineStr">
        <is>
          <t>PromptRec</t>
        </is>
      </c>
      <c r="O61" s="3" t="inlineStr">
        <is>
          <t>N/A</t>
        </is>
      </c>
      <c r="P61" s="3" t="inlineStr">
        <is>
          <t>PromptRec</t>
        </is>
      </c>
      <c r="Q61" s="3" t="inlineStr">
        <is>
          <t>BERT (29.1M); LLaMA-7B comparator</t>
        </is>
      </c>
      <c r="R61" s="8" t="inlineStr">
        <is>
          <t>Lightweight</t>
        </is>
      </c>
      <c r="S61" s="2" t="inlineStr">
        <is>
          <t>Lightweight</t>
        </is>
      </c>
      <c r="T61" s="2" t="inlineStr">
        <is>
          <t>No</t>
        </is>
      </c>
      <c r="U61" s="2" t="inlineStr">
        <is>
          <t>Emerging &amp; Cross-Cutting</t>
        </is>
      </c>
      <c r="V61" s="3" t="inlineStr">
        <is>
          <t>N/A</t>
        </is>
      </c>
      <c r="W61" s="3" t="inlineStr">
        <is>
          <t>cold-start recommendation benchmark</t>
        </is>
      </c>
      <c r="X61" s="3" t="inlineStr">
        <is>
          <t>recommendation, sentiment analysis</t>
        </is>
      </c>
      <c r="Y61" s="3" t="inlineStr">
        <is>
          <t>The paper proposes PromptRec, a data-centric approach for system cold-start recommendations using small language models.</t>
        </is>
      </c>
      <c r="Z61" s="2" t="inlineStr">
        <is>
          <t>United States</t>
        </is>
      </c>
    </row>
    <row r="62">
      <c r="A62" s="2" t="n">
        <v>93</v>
      </c>
      <c r="B62" s="2" t="inlineStr">
        <is>
          <t>guainazzo</t>
        </is>
      </c>
      <c r="C62" s="2" t="inlineStr">
        <is>
          <t>Guainazzo et al.</t>
        </is>
      </c>
      <c r="D62" s="3" t="inlineStr">
        <is>
          <t>Navigating the Seas of AI: Effectiveness of Small Language Models on Edge Devices for Maritime Applications</t>
        </is>
      </c>
      <c r="E62" s="2" t="n">
        <v>2026</v>
      </c>
      <c r="F62" s="3" t="inlineStr">
        <is>
          <t>Sensors</t>
        </is>
      </c>
      <c r="G62" s="4" t="inlineStr">
        <is>
          <t>https://doi.org/10.3390/s26051590</t>
        </is>
      </c>
      <c r="H62" s="2" t="inlineStr">
        <is>
          <t>Peer-reviewed</t>
        </is>
      </c>
      <c r="I62" s="2" t="inlineStr"/>
      <c r="J62" s="2" t="inlineStr">
        <is>
          <t>Not applicable</t>
        </is>
      </c>
      <c r="K62" s="2" t="inlineStr"/>
      <c r="L62" s="2" t="inlineStr"/>
      <c r="M62" s="2" t="inlineStr"/>
      <c r="N62" s="3" t="inlineStr">
        <is>
          <t>Maritime-RAG</t>
        </is>
      </c>
      <c r="O62" s="3" t="inlineStr">
        <is>
          <t>N/A</t>
        </is>
      </c>
      <c r="P62" s="3" t="inlineStr">
        <is>
          <t>N/A</t>
        </is>
      </c>
      <c r="Q62" s="3" t="inlineStr">
        <is>
          <t>0.5B–3.8B (Qwen-2.5-0.5B/1.5B/3B, Phi-3.5-mini 3.8B; INT4/INT8)</t>
        </is>
      </c>
      <c r="R62" s="5" t="inlineStr">
        <is>
          <t>Moderate</t>
        </is>
      </c>
      <c r="S62" s="2" t="inlineStr">
        <is>
          <t>Compact; Moderate</t>
        </is>
      </c>
      <c r="T62" s="2" t="inlineStr">
        <is>
          <t>No</t>
        </is>
      </c>
      <c r="U62" s="2" t="inlineStr">
        <is>
          <t>Emerging &amp; Cross-Cutting</t>
        </is>
      </c>
      <c r="V62" s="3" t="inlineStr">
        <is>
          <t>N/A</t>
        </is>
      </c>
      <c r="W62" s="3" t="inlineStr">
        <is>
          <t>N/A</t>
        </is>
      </c>
      <c r="X62" s="3" t="inlineStr">
        <is>
          <t>maritime navigation</t>
        </is>
      </c>
      <c r="Y62" s="3" t="inlineStr">
        <is>
          <t>This paper explores the feasibility of employing small language models on edge devices for maritime navigation in environments with limited internet connectivity.</t>
        </is>
      </c>
      <c r="Z62" s="2" t="inlineStr">
        <is>
          <t>Italy</t>
        </is>
      </c>
    </row>
    <row r="63">
      <c r="A63" s="2" t="n">
        <v>97</v>
      </c>
      <c r="B63" s="2" t="inlineStr">
        <is>
          <t>shakti</t>
        </is>
      </c>
      <c r="C63" s="2" t="inlineStr">
        <is>
          <t>Shakhadri et al.</t>
        </is>
      </c>
      <c r="D63" s="3" t="inlineStr">
        <is>
          <t>SHAKTI: A 2.5 Billion Parameter Small Language Model Optimized for Edge AI and Low-Resource Environments</t>
        </is>
      </c>
      <c r="E63" s="2" t="n">
        <v>2025</v>
      </c>
      <c r="F63" s="3" t="inlineStr">
        <is>
          <t>IFIP International Conference on Artificial Intelligence Applications and Innovations</t>
        </is>
      </c>
      <c r="G63" s="4" t="inlineStr">
        <is>
          <t>https://arxiv.org/abs/2410.11331</t>
        </is>
      </c>
      <c r="H63" s="2" t="inlineStr">
        <is>
          <t>Peer-reviewed</t>
        </is>
      </c>
      <c r="I63" s="2" t="inlineStr"/>
      <c r="J63" s="2" t="inlineStr">
        <is>
          <t>Not applicable</t>
        </is>
      </c>
      <c r="K63" s="2" t="inlineStr"/>
      <c r="L63" s="2" t="inlineStr"/>
      <c r="M63" s="2" t="inlineStr"/>
      <c r="N63" s="3" t="inlineStr">
        <is>
          <t>Shakti</t>
        </is>
      </c>
      <c r="O63" s="3" t="inlineStr">
        <is>
          <t>GPT-3, LLaMA, Mistral, Phi-3</t>
        </is>
      </c>
      <c r="P63" s="3" t="inlineStr">
        <is>
          <t>Shakti</t>
        </is>
      </c>
      <c r="Q63" s="3" t="inlineStr">
        <is>
          <t>2.5B</t>
        </is>
      </c>
      <c r="R63" s="5" t="inlineStr">
        <is>
          <t>Moderate</t>
        </is>
      </c>
      <c r="S63" s="2" t="inlineStr">
        <is>
          <t>Moderate</t>
        </is>
      </c>
      <c r="T63" s="2" t="inlineStr">
        <is>
          <t>No</t>
        </is>
      </c>
      <c r="U63" s="2" t="inlineStr">
        <is>
          <t>Emerging &amp; Cross-Cutting</t>
        </is>
      </c>
      <c r="V63" s="3" t="inlineStr">
        <is>
          <t>N/A</t>
        </is>
      </c>
      <c r="W63" s="3" t="inlineStr">
        <is>
          <t>N/A</t>
        </is>
      </c>
      <c r="X63" s="3" t="inlineStr">
        <is>
          <t>text summarization, machine translation, question answering</t>
        </is>
      </c>
      <c r="Y63" s="3" t="inlineStr">
        <is>
          <t>Shakti is a 2.5 billion parameter language model optimized for resource-constrained environments, combining high performance with efficiency for edge AI applications.</t>
        </is>
      </c>
      <c r="Z63" s="2" t="inlineStr">
        <is>
          <t>India</t>
        </is>
      </c>
    </row>
    <row r="64">
      <c r="A64" s="2" t="n">
        <v>116</v>
      </c>
      <c r="B64" s="2" t="inlineStr">
        <is>
          <t>mei2023lightlm</t>
        </is>
      </c>
      <c r="C64" s="2" t="inlineStr">
        <is>
          <t>Mei et al.</t>
        </is>
      </c>
      <c r="D64" s="3" t="inlineStr">
        <is>
          <t>LightLM: A Lightweight Deep and Narrow Language Model for Generative Recommendation</t>
        </is>
      </c>
      <c r="E64" s="2" t="n">
        <v>2023</v>
      </c>
      <c r="F64" s="3" t="inlineStr">
        <is>
          <t>arXiv preprint arXiv:2310.17488</t>
        </is>
      </c>
      <c r="G64" s="4" t="inlineStr">
        <is>
          <t>https://arxiv.org/abs/2310.17488</t>
        </is>
      </c>
      <c r="H64" s="2" t="inlineStr">
        <is>
          <t>Preprint</t>
        </is>
      </c>
      <c r="I64" s="2" t="inlineStr"/>
      <c r="J64" s="2" t="inlineStr">
        <is>
          <t>b (26)</t>
        </is>
      </c>
      <c r="K64" s="2" t="inlineStr"/>
      <c r="L64" s="2" t="inlineStr">
        <is>
          <t>Yes</t>
        </is>
      </c>
      <c r="M64" s="2" t="inlineStr"/>
      <c r="N64" s="3" t="inlineStr">
        <is>
          <t>LightLM</t>
        </is>
      </c>
      <c r="O64" s="3" t="inlineStr">
        <is>
          <t>T5, GPT, LLaMA, M6</t>
        </is>
      </c>
      <c r="P64" s="3" t="inlineStr">
        <is>
          <t>LightLM</t>
        </is>
      </c>
      <c r="Q64" s="3" t="inlineStr">
        <is>
          <t>Not stated; 6+6 layers, d=512, narrow FFN (est. tens of millions)</t>
        </is>
      </c>
      <c r="R64" s="8" t="inlineStr">
        <is>
          <t>Lightweight</t>
        </is>
      </c>
      <c r="S64" s="2" t="inlineStr">
        <is>
          <t>Lightweight</t>
        </is>
      </c>
      <c r="T64" s="2" t="inlineStr">
        <is>
          <t>No</t>
        </is>
      </c>
      <c r="U64" s="2" t="inlineStr">
        <is>
          <t>Emerging &amp; Cross-Cutting</t>
        </is>
      </c>
      <c r="V64" s="3" t="inlineStr">
        <is>
          <t>N/A</t>
        </is>
      </c>
      <c r="W64" s="3" t="inlineStr">
        <is>
          <t>N/A</t>
        </is>
      </c>
      <c r="X64" s="3" t="inlineStr">
        <is>
          <t>generative recommendation</t>
        </is>
      </c>
      <c r="Y64" s="3" t="inlineStr">
        <is>
          <t>Deep-and-narrow lightweight Transformer for generative recommendation</t>
        </is>
      </c>
      <c r="Z64" s="2" t="inlineStr">
        <is>
          <t>United States</t>
        </is>
      </c>
    </row>
    <row r="65">
      <c r="A65" s="2" t="n">
        <v>111</v>
      </c>
      <c r="B65" s="2" t="inlineStr">
        <is>
          <t>maity2024nanobert</t>
        </is>
      </c>
      <c r="C65" s="2" t="inlineStr">
        <is>
          <t>Maity et al.</t>
        </is>
      </c>
      <c r="D65" s="3" t="inlineStr">
        <is>
          <t>NanoBERT: An Extremely Compact Language Model</t>
        </is>
      </c>
      <c r="E65" s="2" t="n">
        <v>2024</v>
      </c>
      <c r="F65" s="3" t="inlineStr">
        <is>
          <t>CODS-COMAD 2024 (ACM)</t>
        </is>
      </c>
      <c r="G65" s="4" t="inlineStr">
        <is>
          <t>https://doi.org/10.1145/3632410.3632451</t>
        </is>
      </c>
      <c r="H65" s="2" t="inlineStr">
        <is>
          <t>Peer-reviewed</t>
        </is>
      </c>
      <c r="I65" s="2" t="inlineStr"/>
      <c r="J65" s="2" t="inlineStr">
        <is>
          <t>Not applicable</t>
        </is>
      </c>
      <c r="K65" s="2" t="inlineStr"/>
      <c r="L65" s="2" t="inlineStr"/>
      <c r="M65" s="2" t="inlineStr"/>
      <c r="N65" s="3" t="inlineStr">
        <is>
          <t>NanoBERT</t>
        </is>
      </c>
      <c r="O65" s="3" t="inlineStr">
        <is>
          <t>BERT</t>
        </is>
      </c>
      <c r="P65" s="3" t="inlineStr">
        <is>
          <t>NanoBERT</t>
        </is>
      </c>
      <c r="Q65" s="3" t="inlineStr">
        <is>
          <t>Not stated in accessible sources (described as extremely compact BERT)</t>
        </is>
      </c>
      <c r="R65" s="8" t="inlineStr">
        <is>
          <t>Lightweight</t>
        </is>
      </c>
      <c r="S65" s="2" t="inlineStr">
        <is>
          <t>Lightweight</t>
        </is>
      </c>
      <c r="T65" s="2" t="inlineStr">
        <is>
          <t>No</t>
        </is>
      </c>
      <c r="U65" s="2" t="inlineStr">
        <is>
          <t>Natural Language Processing</t>
        </is>
      </c>
      <c r="V65" s="3" t="inlineStr">
        <is>
          <t>N/A</t>
        </is>
      </c>
      <c r="W65" s="3" t="inlineStr">
        <is>
          <t>N/A</t>
        </is>
      </c>
      <c r="X65" s="3" t="inlineStr">
        <is>
          <t>text classification, named entity recognition</t>
        </is>
      </c>
      <c r="Y65" s="3" t="inlineStr">
        <is>
          <t>Very compact BERT variant for edge/mobile use</t>
        </is>
      </c>
      <c r="Z65" s="2" t="inlineStr">
        <is>
          <t>India</t>
        </is>
      </c>
    </row>
    <row r="66">
      <c r="A66" s="2" t="n">
        <v>112</v>
      </c>
      <c r="B66" s="2" t="inlineStr">
        <is>
          <t>cohn2023eelbert</t>
        </is>
      </c>
      <c r="C66" s="2" t="inlineStr">
        <is>
          <t>Cohn et al.</t>
        </is>
      </c>
      <c r="D66" s="3" t="inlineStr">
        <is>
          <t>EELBERT: Tiny Models through Dynamic Embeddings</t>
        </is>
      </c>
      <c r="E66" s="2" t="n">
        <v>2023</v>
      </c>
      <c r="F66" s="3" t="inlineStr">
        <is>
          <t>EMNLP 2023 Industry Track</t>
        </is>
      </c>
      <c r="G66" s="4" t="inlineStr">
        <is>
          <t>https://doi.org/10.18653/v1/2023.emnlp-industry.43</t>
        </is>
      </c>
      <c r="H66" s="2" t="inlineStr">
        <is>
          <t>Peer-reviewed</t>
        </is>
      </c>
      <c r="I66" s="2" t="inlineStr"/>
      <c r="J66" s="2" t="inlineStr">
        <is>
          <t>Not applicable</t>
        </is>
      </c>
      <c r="K66" s="2" t="inlineStr"/>
      <c r="L66" s="2" t="inlineStr"/>
      <c r="M66" s="2" t="inlineStr"/>
      <c r="N66" s="3" t="inlineStr">
        <is>
          <t>EELBERT</t>
        </is>
      </c>
      <c r="O66" s="3" t="inlineStr">
        <is>
          <t>BERT, T5, mT5, RoBERTa</t>
        </is>
      </c>
      <c r="P66" s="3" t="inlineStr">
        <is>
          <t>EELBERT, UNO-EELBERT</t>
        </is>
      </c>
      <c r="Q66" s="3" t="inlineStr">
        <is>
          <t>1.2 MB (UNO-EELBERT)</t>
        </is>
      </c>
      <c r="R66" s="8" t="inlineStr">
        <is>
          <t>Lightweight</t>
        </is>
      </c>
      <c r="S66" s="2" t="inlineStr">
        <is>
          <t>Lightweight</t>
        </is>
      </c>
      <c r="T66" s="2" t="inlineStr">
        <is>
          <t>No</t>
        </is>
      </c>
      <c r="U66" s="2" t="inlineStr">
        <is>
          <t>Natural Language Processing</t>
        </is>
      </c>
      <c r="V66" s="3" t="inlineStr">
        <is>
          <t>N/A</t>
        </is>
      </c>
      <c r="W66" s="3" t="inlineStr">
        <is>
          <t>GLUE</t>
        </is>
      </c>
      <c r="X66" s="3" t="inlineStr">
        <is>
          <t>text classification, sequence labelling</t>
        </is>
      </c>
      <c r="Y66" s="3" t="inlineStr">
        <is>
          <t>Embedding-less BERT with dynamically computed embeddings for tiny models</t>
        </is>
      </c>
      <c r="Z66" s="2" t="inlineStr">
        <is>
          <t>United States</t>
        </is>
      </c>
    </row>
    <row r="67">
      <c r="A67" s="2" t="n">
        <v>113</v>
      </c>
      <c r="B67" s="2" t="inlineStr">
        <is>
          <t>hussain2025adaptive</t>
        </is>
      </c>
      <c r="C67" s="2" t="inlineStr">
        <is>
          <t>Hussain et al.</t>
        </is>
      </c>
      <c r="D67" s="3" t="inlineStr">
        <is>
          <t>Adaptive Multitask Emotion Recognition and Sentiment Analysis Using Resource-Constrained MobileBERT and DistilBERT: An Efficient Approach for Edge Devices</t>
        </is>
      </c>
      <c r="E67" s="2" t="n">
        <v>2025</v>
      </c>
      <c r="F67" s="3" t="inlineStr">
        <is>
          <t>PeerJ Computer Science</t>
        </is>
      </c>
      <c r="G67" s="4" t="inlineStr">
        <is>
          <t>https://peerj.com/articles/cs-3287</t>
        </is>
      </c>
      <c r="H67" s="2" t="inlineStr">
        <is>
          <t>Peer-reviewed</t>
        </is>
      </c>
      <c r="I67" s="2" t="inlineStr"/>
      <c r="J67" s="2" t="inlineStr">
        <is>
          <t>Not applicable</t>
        </is>
      </c>
      <c r="K67" s="2" t="inlineStr"/>
      <c r="L67" s="2" t="inlineStr"/>
      <c r="M67" s="2" t="inlineStr"/>
      <c r="N67" s="3" t="n"/>
      <c r="O67" s="3" t="inlineStr">
        <is>
          <t>MobileBERT, DistilBERT</t>
        </is>
      </c>
      <c r="P67" s="3" t="inlineStr">
        <is>
          <t>Adaptive multitask emotion + sentiment model</t>
        </is>
      </c>
      <c r="Q67" s="3" t="inlineStr">
        <is>
          <t>MobileBERT (25M), DistilBERT (66M)</t>
        </is>
      </c>
      <c r="R67" s="8" t="inlineStr">
        <is>
          <t>Lightweight</t>
        </is>
      </c>
      <c r="S67" s="2" t="inlineStr">
        <is>
          <t>Lightweight</t>
        </is>
      </c>
      <c r="T67" s="2" t="inlineStr">
        <is>
          <t>No</t>
        </is>
      </c>
      <c r="U67" s="2" t="inlineStr">
        <is>
          <t>Natural Language Processing</t>
        </is>
      </c>
      <c r="V67" s="3" t="inlineStr">
        <is>
          <t>MELD, IEMOCAP</t>
        </is>
      </c>
      <c r="W67" s="3" t="inlineStr">
        <is>
          <t>MELD, IEMOCAP</t>
        </is>
      </c>
      <c r="X67" s="3" t="inlineStr">
        <is>
          <t>Emotion recognition and sentiment analysis on edge devices</t>
        </is>
      </c>
      <c r="Y67" s="3" t="inlineStr">
        <is>
          <t>Joint multitask learning with prototypical networks outperforms single-task models in accuracy and efficiency</t>
        </is>
      </c>
      <c r="Z67" s="2" t="inlineStr">
        <is>
          <t>China</t>
        </is>
      </c>
    </row>
    <row r="68">
      <c r="A68" s="2" t="n">
        <v>118</v>
      </c>
      <c r="B68" s="2" t="inlineStr">
        <is>
          <t>godey2024small</t>
        </is>
      </c>
      <c r="C68" s="2" t="inlineStr">
        <is>
          <t>Godey et al.</t>
        </is>
      </c>
      <c r="D68" s="3" t="inlineStr">
        <is>
          <t>Why do small language models underperform? Studying Language Model Saturation via the Softmax Bottleneck</t>
        </is>
      </c>
      <c r="E68" s="2" t="n">
        <v>2024</v>
      </c>
      <c r="F68" s="3" t="inlineStr">
        <is>
          <t>arXiv preprint arXiv:2404.07647</t>
        </is>
      </c>
      <c r="G68" s="4" t="inlineStr">
        <is>
          <t>https://arxiv.org/abs/2404.07647</t>
        </is>
      </c>
      <c r="H68" s="2" t="inlineStr">
        <is>
          <t>Preprint</t>
        </is>
      </c>
      <c r="I68" s="2" t="inlineStr"/>
      <c r="J68" s="2" t="inlineStr">
        <is>
          <t>b (23)</t>
        </is>
      </c>
      <c r="K68" s="2" t="inlineStr"/>
      <c r="L68" s="2" t="inlineStr">
        <is>
          <t>Yes</t>
        </is>
      </c>
      <c r="M68" s="2" t="inlineStr"/>
      <c r="N68" s="3" t="n"/>
      <c r="O68" s="3" t="inlineStr">
        <is>
          <t>BERT, GPT-2, Pythia</t>
        </is>
      </c>
      <c r="P68" s="3" t="inlineStr">
        <is>
          <t>N/A</t>
        </is>
      </c>
      <c r="Q68" s="3" t="inlineStr">
        <is>
          <t>Pythia suite (160M–1B and larger checkpoints)</t>
        </is>
      </c>
      <c r="R68" s="6" t="inlineStr">
        <is>
          <t>Compact</t>
        </is>
      </c>
      <c r="S68" s="2" t="inlineStr">
        <is>
          <t>Compact; Moderate</t>
        </is>
      </c>
      <c r="T68" s="2" t="inlineStr">
        <is>
          <t>No</t>
        </is>
      </c>
      <c r="U68" s="2" t="inlineStr">
        <is>
          <t>General (techniques / evaluation)</t>
        </is>
      </c>
      <c r="V68" s="3" t="inlineStr">
        <is>
          <t>Pile</t>
        </is>
      </c>
      <c r="W68" s="3" t="inlineStr">
        <is>
          <t>Lambada</t>
        </is>
      </c>
      <c r="X68" s="3" t="inlineStr">
        <is>
          <t>language modeling</t>
        </is>
      </c>
      <c r="Y68" s="3" t="inlineStr">
        <is>
          <t>The paper characterizes the performance saturation of small language models and explores the correlation with representation degeneration.</t>
        </is>
      </c>
      <c r="Z68" s="2" t="inlineStr">
        <is>
          <t>France</t>
        </is>
      </c>
    </row>
    <row r="69">
      <c r="A69" s="2" t="n">
        <v>119</v>
      </c>
      <c r="B69" s="2" t="inlineStr">
        <is>
          <t>2024mobilellm</t>
        </is>
      </c>
      <c r="C69" s="2" t="inlineStr">
        <is>
          <t>Liu et al.</t>
        </is>
      </c>
      <c r="D69" s="3" t="inlineStr">
        <is>
          <t>MobileLLM: Optimizing Sub-billion Parameter Language Models for On-Device Use Cases</t>
        </is>
      </c>
      <c r="E69" s="2" t="n">
        <v>2024</v>
      </c>
      <c r="F69" s="3" t="inlineStr">
        <is>
          <t>Forty-first International Conference on Machine Learning</t>
        </is>
      </c>
      <c r="G69" s="4" t="inlineStr">
        <is>
          <t>https://proceedings.mlr.press/v235/liu24ce.html</t>
        </is>
      </c>
      <c r="H69" s="2" t="inlineStr">
        <is>
          <t>Peer-reviewed</t>
        </is>
      </c>
      <c r="I69" s="2" t="inlineStr"/>
      <c r="J69" s="2" t="inlineStr">
        <is>
          <t>Not applicable</t>
        </is>
      </c>
      <c r="K69" s="2" t="inlineStr"/>
      <c r="L69" s="2" t="inlineStr"/>
      <c r="M69" s="2" t="inlineStr"/>
      <c r="N69" s="3" t="n"/>
      <c r="O69" s="3" t="inlineStr">
        <is>
          <t>Cerebras-GPT, OPT, GPT-Neo, BLOOM, Pythia, RWKV</t>
        </is>
      </c>
      <c r="P69" s="3" t="inlineStr">
        <is>
          <t>MobileLLM, MobileLLM-LS</t>
        </is>
      </c>
      <c r="Q69" s="3" t="inlineStr">
        <is>
          <t>125M, 350M</t>
        </is>
      </c>
      <c r="R69" s="6" t="inlineStr">
        <is>
          <t>Compact</t>
        </is>
      </c>
      <c r="S69" s="2" t="inlineStr">
        <is>
          <t>Compact</t>
        </is>
      </c>
      <c r="T69" s="2" t="inlineStr">
        <is>
          <t>No</t>
        </is>
      </c>
      <c r="U69" s="2" t="inlineStr">
        <is>
          <t>General (techniques / evaluation)</t>
        </is>
      </c>
      <c r="V69" s="3" t="inlineStr">
        <is>
          <t>N/A</t>
        </is>
      </c>
      <c r="W69" s="3" t="inlineStr">
        <is>
          <t>N/A</t>
        </is>
      </c>
      <c r="X69" s="3" t="inlineStr">
        <is>
          <t>zero-shot common sense tasks</t>
        </is>
      </c>
      <c r="Y69" s="3" t="inlineStr">
        <is>
          <t>The paper presents MobileLLM, a model architecture that achieves significant accuracy improvements for sub-billion parameter language models suitable for mobile deployment.</t>
        </is>
      </c>
      <c r="Z69" s="2" t="inlineStr">
        <is>
          <t>United States</t>
        </is>
      </c>
    </row>
    <row r="70">
      <c r="A70" s="2" t="n">
        <v>117</v>
      </c>
      <c r="B70" s="2" t="inlineStr">
        <is>
          <t>tosheva2025zero</t>
        </is>
      </c>
      <c r="C70" s="2" t="inlineStr">
        <is>
          <t>Tosheva et al.</t>
        </is>
      </c>
      <c r="D70" s="3" t="inlineStr">
        <is>
          <t>Zero-Shot Reasoning with BLIP and SmolLM</t>
        </is>
      </c>
      <c r="E70" s="2" t="n">
        <v>2025</v>
      </c>
      <c r="F70" s="3" t="inlineStr">
        <is>
          <t>CEUR-WS</t>
        </is>
      </c>
      <c r="G70" s="4" t="inlineStr">
        <is>
          <t>https://ceur-ws.org/Vol-4038/paper_211.pdf</t>
        </is>
      </c>
      <c r="H70" s="2" t="inlineStr">
        <is>
          <t>Peer-reviewed</t>
        </is>
      </c>
      <c r="I70" s="2" t="inlineStr"/>
      <c r="J70" s="2" t="inlineStr">
        <is>
          <t>Not applicable</t>
        </is>
      </c>
      <c r="K70" s="2" t="inlineStr"/>
      <c r="L70" s="2" t="inlineStr"/>
      <c r="M70" s="2" t="inlineStr"/>
      <c r="N70" s="3" t="n"/>
      <c r="O70" s="3" t="inlineStr">
        <is>
          <t>BLIP-Base, SmolLM-360M</t>
        </is>
      </c>
      <c r="P70" s="3" t="inlineStr">
        <is>
          <t>BLIP + SmolLM pipeline</t>
        </is>
      </c>
      <c r="Q70" s="3" t="inlineStr">
        <is>
          <t>360M (LM)</t>
        </is>
      </c>
      <c r="R70" s="6" t="inlineStr">
        <is>
          <t>Compact</t>
        </is>
      </c>
      <c r="S70" s="2" t="inlineStr">
        <is>
          <t>Compact</t>
        </is>
      </c>
      <c r="T70" s="2" t="inlineStr">
        <is>
          <t>No</t>
        </is>
      </c>
      <c r="U70" s="2" t="inlineStr">
        <is>
          <t>Emerging &amp; Cross-Cutting</t>
        </is>
      </c>
      <c r="V70" s="3" t="inlineStr">
        <is>
          <t>MBZUAI EXAMS-V (16,724 train)</t>
        </is>
      </c>
      <c r="W70" s="3" t="inlineStr">
        <is>
          <t>EXAMS-V validation (4,208)</t>
        </is>
      </c>
      <c r="X70" s="3" t="inlineStr">
        <is>
          <t>Multimodal reasoning (image-based multiple-choice science questions), ImageCLEF 2025</t>
        </is>
      </c>
      <c r="Y70" s="3" t="inlineStr">
        <is>
          <t>Caption-then-answer pipeline with a 360M LM; prompt-ablation study of three templates</t>
        </is>
      </c>
      <c r="Z70" s="2" t="inlineStr">
        <is>
          <t>Bulgaria</t>
        </is>
      </c>
    </row>
    <row r="71">
      <c r="A71" s="2" t="n">
        <v>107</v>
      </c>
      <c r="B71" s="2" t="inlineStr">
        <is>
          <t>xiang2025device</t>
        </is>
      </c>
      <c r="C71" s="2" t="inlineStr">
        <is>
          <t>Xiang et al.</t>
        </is>
      </c>
      <c r="D71" s="3" t="inlineStr">
        <is>
          <t>On-Device Qwen2.5: Efficient LLM Inference with Model Compression and Hardware Acceleration</t>
        </is>
      </c>
      <c r="E71" s="2" t="n">
        <v>2025</v>
      </c>
      <c r="F71" s="3" t="inlineStr">
        <is>
          <t>arXiv preprint arXiv:2504.17376</t>
        </is>
      </c>
      <c r="G71" s="4" t="inlineStr">
        <is>
          <t>https://arxiv.org/abs/2504.17376</t>
        </is>
      </c>
      <c r="H71" s="2" t="inlineStr">
        <is>
          <t>Preprint</t>
        </is>
      </c>
      <c r="I71" s="2" t="inlineStr"/>
      <c r="J71" s="2" t="inlineStr">
        <is>
          <t>b (10)</t>
        </is>
      </c>
      <c r="K71" s="2" t="inlineStr"/>
      <c r="L71" s="2" t="inlineStr">
        <is>
          <t>Yes</t>
        </is>
      </c>
      <c r="M71" s="2" t="inlineStr"/>
      <c r="N71" s="3" t="n"/>
      <c r="O71" s="3" t="inlineStr">
        <is>
          <t>Qwen2.5-0.5B</t>
        </is>
      </c>
      <c r="P71" s="3" t="inlineStr">
        <is>
          <t>On-device Qwen2.5-0.5B deployment framework (AWQ + FPGA)</t>
        </is>
      </c>
      <c r="Q71" s="3" t="inlineStr">
        <is>
          <t>0.5B</t>
        </is>
      </c>
      <c r="R71" s="6" t="inlineStr">
        <is>
          <t>Compact</t>
        </is>
      </c>
      <c r="S71" s="2" t="inlineStr">
        <is>
          <t>Compact</t>
        </is>
      </c>
      <c r="T71" s="2" t="inlineStr">
        <is>
          <t>No</t>
        </is>
      </c>
      <c r="U71" s="2" t="inlineStr">
        <is>
          <t>Robotics &amp; Real-Time</t>
        </is>
      </c>
      <c r="V71" s="3" t="inlineStr">
        <is>
          <t>N/A</t>
        </is>
      </c>
      <c r="W71" s="3" t="inlineStr">
        <is>
          <t>N/A (throughput, compression rate)</t>
        </is>
      </c>
      <c r="X71" s="3" t="inlineStr">
        <is>
          <t>Edge inference on Xilinx Kria KV260 (CPU+FPGA)</t>
        </is>
      </c>
      <c r="Y71" s="3" t="inlineStr">
        <is>
          <t>AWQ plus FPGA offloading: 55.08% compression, 5.1 vs 2.8 tokens/s</t>
        </is>
      </c>
      <c r="Z71" s="2" t="inlineStr">
        <is>
          <t>Singapore</t>
        </is>
      </c>
    </row>
    <row r="72">
      <c r="A72" s="2" t="n">
        <v>108</v>
      </c>
      <c r="B72" s="2" t="inlineStr">
        <is>
          <t>feng2025qwen2</t>
        </is>
      </c>
      <c r="C72" s="2" t="inlineStr">
        <is>
          <t>Feng et al.</t>
        </is>
      </c>
      <c r="D72" s="3" t="inlineStr">
        <is>
          <t>Qwen2. 5-0.5 B Inference Optimization Based on FPGA Acceleration</t>
        </is>
      </c>
      <c r="E72" s="2" t="n">
        <v>2025</v>
      </c>
      <c r="F72" s="3" t="inlineStr">
        <is>
          <t>2025 4th International Conference on Artificial Intelligence, Internet of Things and Cloud Computing Technology (AIoTC)</t>
        </is>
      </c>
      <c r="G72" s="4" t="inlineStr">
        <is>
          <t>https://ieeexplore.ieee.org/document/11198611</t>
        </is>
      </c>
      <c r="H72" s="2" t="inlineStr">
        <is>
          <t>Peer-reviewed</t>
        </is>
      </c>
      <c r="I72" s="2" t="inlineStr"/>
      <c r="J72" s="2" t="inlineStr">
        <is>
          <t>Not applicable</t>
        </is>
      </c>
      <c r="K72" s="2" t="inlineStr"/>
      <c r="L72" s="2" t="inlineStr"/>
      <c r="M72" s="2" t="inlineStr"/>
      <c r="N72" s="3" t="n"/>
      <c r="O72" s="3" t="inlineStr">
        <is>
          <t>Qwen2.5-0.5B-Instruct</t>
        </is>
      </c>
      <c r="P72" s="3" t="inlineStr">
        <is>
          <t>FPGA inference accelerator for Qwen2.5-0.5B</t>
        </is>
      </c>
      <c r="Q72" s="3" t="inlineStr">
        <is>
          <t>0.5B</t>
        </is>
      </c>
      <c r="R72" s="6" t="inlineStr">
        <is>
          <t>Compact</t>
        </is>
      </c>
      <c r="S72" s="2" t="inlineStr">
        <is>
          <t>Compact</t>
        </is>
      </c>
      <c r="T72" s="2" t="inlineStr">
        <is>
          <t>No</t>
        </is>
      </c>
      <c r="U72" s="2" t="inlineStr">
        <is>
          <t>Robotics &amp; Real-Time</t>
        </is>
      </c>
      <c r="V72" s="3" t="inlineStr">
        <is>
          <t>N/A</t>
        </is>
      </c>
      <c r="W72" s="3" t="inlineStr">
        <is>
          <t>N/A (inference speed, resource use)</t>
        </is>
      </c>
      <c r="X72" s="3" t="inlineStr">
        <is>
          <t>Edge LLM inference on AMD-Xilinx Kria KV260</t>
        </is>
      </c>
      <c r="Y72" s="3" t="inlineStr">
        <is>
          <t>Demonstrates feasible Qwen2.5-0.5B inference on FPGA with MAC-parallel and register-hierarchy optimizations</t>
        </is>
      </c>
      <c r="Z72" s="2" t="inlineStr">
        <is>
          <t>China</t>
        </is>
      </c>
    </row>
    <row r="73">
      <c r="A73" s="2" t="n">
        <v>114</v>
      </c>
      <c r="B73" s="2" t="inlineStr">
        <is>
          <t>yan2025lightweight</t>
        </is>
      </c>
      <c r="C73" s="2" t="inlineStr">
        <is>
          <t>Yan et al.</t>
        </is>
      </c>
      <c r="D73" s="3" t="inlineStr">
        <is>
          <t>A Lightweight Detector: Zero-Shot Detection of Machine-Generated Text with Once Call</t>
        </is>
      </c>
      <c r="E73" s="2" t="n">
        <v>2025</v>
      </c>
      <c r="F73" s="3" t="inlineStr">
        <is>
          <t>2025 5th International Conference on Artificial Intelligence, Big Data and Algorithms (CAIBDA)</t>
        </is>
      </c>
      <c r="G73" s="4" t="inlineStr">
        <is>
          <t>https://ieeexplore.ieee.org/document/11183347</t>
        </is>
      </c>
      <c r="H73" s="2" t="inlineStr">
        <is>
          <t>Peer-reviewed</t>
        </is>
      </c>
      <c r="I73" s="2" t="inlineStr"/>
      <c r="J73" s="2" t="inlineStr">
        <is>
          <t>Not applicable</t>
        </is>
      </c>
      <c r="K73" s="2" t="inlineStr"/>
      <c r="L73" s="2" t="inlineStr"/>
      <c r="M73" s="2" t="inlineStr"/>
      <c r="N73" s="3" t="n"/>
      <c r="O73" s="3" t="inlineStr">
        <is>
          <t>Qwen-2.5-0.5B, Qwen-3-0.6B (detector); GLM-4-Flash, Qwen-Turbo (generators)</t>
        </is>
      </c>
      <c r="P73" s="3" t="inlineStr">
        <is>
          <t>Lightweight zero-shot machine-generated-text detector</t>
        </is>
      </c>
      <c r="Q73" s="3" t="inlineStr">
        <is>
          <t>0.5B–0.6B</t>
        </is>
      </c>
      <c r="R73" s="6" t="inlineStr">
        <is>
          <t>Compact</t>
        </is>
      </c>
      <c r="S73" s="2" t="inlineStr">
        <is>
          <t>Compact</t>
        </is>
      </c>
      <c r="T73" s="2" t="inlineStr">
        <is>
          <t>No</t>
        </is>
      </c>
      <c r="U73" s="2" t="inlineStr">
        <is>
          <t>Natural Language Processing</t>
        </is>
      </c>
      <c r="V73" s="3" t="inlineStr">
        <is>
          <t>N/A (zero-shot)</t>
        </is>
      </c>
      <c r="W73" s="3" t="inlineStr">
        <is>
          <t>Student-essay and AI-generated text sets (AUROC)</t>
        </is>
      </c>
      <c r="X73" s="3" t="inlineStr">
        <is>
          <t>Detecting AI-generated student text</t>
        </is>
      </c>
      <c r="Y73" s="3" t="inlineStr">
        <is>
          <t>Single-call zero-shot detector with a sub-1B model, at much lower compute and time cost</t>
        </is>
      </c>
      <c r="Z73" s="2" t="inlineStr">
        <is>
          <t>China</t>
        </is>
      </c>
    </row>
    <row r="74">
      <c r="A74" s="2" t="n">
        <v>115</v>
      </c>
      <c r="B74" s="2" t="inlineStr">
        <is>
          <t>chopra2025small</t>
        </is>
      </c>
      <c r="C74" s="2" t="inlineStr">
        <is>
          <t>Chopra et al.</t>
        </is>
      </c>
      <c r="D74" s="3" t="inlineStr">
        <is>
          <t>How Small Can You Go? Compact Language Models for On-Device Critical Error Detection in Machine Translation</t>
        </is>
      </c>
      <c r="E74" s="2" t="n">
        <v>2025</v>
      </c>
      <c r="F74" s="3" t="inlineStr">
        <is>
          <t>arXiv preprint arXiv:2511.09748</t>
        </is>
      </c>
      <c r="G74" s="4" t="inlineStr">
        <is>
          <t>https://doi.org/10.1109/BigData66926.2025.11401605</t>
        </is>
      </c>
      <c r="H74" s="2" t="inlineStr">
        <is>
          <t>Peer-reviewed</t>
        </is>
      </c>
      <c r="I74" s="2" t="inlineStr">
        <is>
          <t>Published version: IEEE BigData 2025</t>
        </is>
      </c>
      <c r="J74" s="2" t="inlineStr">
        <is>
          <t>Not applicable</t>
        </is>
      </c>
      <c r="K74" s="2" t="inlineStr"/>
      <c r="L74" s="2" t="inlineStr"/>
      <c r="M74" s="2" t="inlineStr"/>
      <c r="N74" s="3" t="n"/>
      <c r="O74" s="3" t="inlineStr">
        <is>
          <t>LFM2-350M, Qwen3-0.6B/1.7B, Llama-3.2-1B-Instruct, Gemma-3-1B</t>
        </is>
      </c>
      <c r="P74" s="3" t="inlineStr">
        <is>
          <t>None (benchmark + calibration framework)</t>
        </is>
      </c>
      <c r="Q74" s="3" t="inlineStr">
        <is>
          <t>0.35B–1.7B</t>
        </is>
      </c>
      <c r="R74" s="5" t="inlineStr">
        <is>
          <t>Moderate</t>
        </is>
      </c>
      <c r="S74" s="2" t="inlineStr">
        <is>
          <t>Compact; Moderate</t>
        </is>
      </c>
      <c r="T74" s="2" t="inlineStr">
        <is>
          <t>No</t>
        </is>
      </c>
      <c r="U74" s="2" t="inlineStr">
        <is>
          <t>Natural Language Processing</t>
        </is>
      </c>
      <c r="V74" s="3" t="inlineStr">
        <is>
          <t>SynCED-EnDe 2025 (fine-tuning)</t>
        </is>
      </c>
      <c r="W74" s="3" t="inlineStr">
        <is>
          <t>WMT21, WMT22, SynCED-EnDe 2025</t>
        </is>
      </c>
      <c r="X74" s="3" t="inlineStr">
        <is>
          <t>Critical error detection in English→German MT</t>
        </is>
      </c>
      <c r="Y74" s="3" t="inlineStr">
        <is>
          <t>~1B is the sweet spot: Gemma-3-1B MCC 0.77, F1-ERR 0.98, ~400 ms latency on a MacBook M4 Pro</t>
        </is>
      </c>
      <c r="Z74" s="2" t="inlineStr">
        <is>
          <t>Germany</t>
        </is>
      </c>
    </row>
    <row r="75">
      <c r="A75" s="2" t="n">
        <v>120</v>
      </c>
      <c r="B75" s="2" t="inlineStr">
        <is>
          <t>hanna2023does</t>
        </is>
      </c>
      <c r="C75" s="2" t="inlineStr">
        <is>
          <t>Hanna et al.</t>
        </is>
      </c>
      <c r="D75" s="3" t="inlineStr">
        <is>
          <t>How Does GPT-2 Compute Greater-Than?: Interpreting Mathematical Abilities in a Pre-Trained Language Model</t>
        </is>
      </c>
      <c r="E75" s="2" t="n">
        <v>2023</v>
      </c>
      <c r="F75" s="3" t="inlineStr">
        <is>
          <t>Advances in Neural Information Processing Systems</t>
        </is>
      </c>
      <c r="G75" s="4" t="inlineStr">
        <is>
          <t>https://proceedings.neurips.cc/paper_files/paper/2023/hash/efbba7719cc5172d175240f24be11280-Abstract-Conference.html</t>
        </is>
      </c>
      <c r="H75" s="2" t="inlineStr">
        <is>
          <t>Peer-reviewed</t>
        </is>
      </c>
      <c r="I75" s="2" t="inlineStr"/>
      <c r="J75" s="2" t="inlineStr">
        <is>
          <t>Not applicable</t>
        </is>
      </c>
      <c r="K75" s="2" t="inlineStr"/>
      <c r="L75" s="2" t="inlineStr"/>
      <c r="M75" s="2" t="inlineStr"/>
      <c r="N75" s="3" t="n"/>
      <c r="O75" s="3" t="inlineStr">
        <is>
          <t>GPT-2 small</t>
        </is>
      </c>
      <c r="P75" s="3" t="inlineStr">
        <is>
          <t>None (mechanistic interpretability analysis)</t>
        </is>
      </c>
      <c r="Q75" s="3" t="inlineStr">
        <is>
          <t>124M</t>
        </is>
      </c>
      <c r="R75" s="6" t="inlineStr">
        <is>
          <t>Compact</t>
        </is>
      </c>
      <c r="S75" s="2" t="inlineStr">
        <is>
          <t>Compact</t>
        </is>
      </c>
      <c r="T75" s="2" t="inlineStr">
        <is>
          <t>No</t>
        </is>
      </c>
      <c r="U75" s="2" t="inlineStr">
        <is>
          <t>General (techniques / evaluation)</t>
        </is>
      </c>
      <c r="V75" s="3" t="inlineStr">
        <is>
          <t>N/A</t>
        </is>
      </c>
      <c r="W75" s="3" t="inlineStr">
        <is>
          <t>Year-span "greater-than" prompts</t>
        </is>
      </c>
      <c r="X75" s="3" t="inlineStr">
        <is>
          <t>Interpretability of arithmetic (greater-than) behaviour</t>
        </is>
      </c>
      <c r="Y75" s="3" t="inlineStr">
        <is>
          <t>Identifies the circuit by which GPT-2 small computes greater-than; final MLPs boost valid end years</t>
        </is>
      </c>
      <c r="Z75" s="2" t="inlineStr">
        <is>
          <t>Netherlands</t>
        </is>
      </c>
    </row>
    <row r="76">
      <c r="A76" s="2" t="n">
        <v>109</v>
      </c>
      <c r="B76" s="2" t="inlineStr">
        <is>
          <t>yadav2025zero</t>
        </is>
      </c>
      <c r="C76" s="2" t="inlineStr">
        <is>
          <t>Yadav et al.</t>
        </is>
      </c>
      <c r="D76" s="3" t="inlineStr">
        <is>
          <t>Zero-Shot Fused Attention-Based GPT-2 Accelerator for Resource-Constrained Embedded Platform</t>
        </is>
      </c>
      <c r="E76" s="2" t="n">
        <v>2025</v>
      </c>
      <c r="F76" s="3" t="inlineStr">
        <is>
          <t>IEEE Embedded Systems Letters</t>
        </is>
      </c>
      <c r="G76" s="4" t="inlineStr">
        <is>
          <t>https://ieeexplore.ieee.org/document/11054269</t>
        </is>
      </c>
      <c r="H76" s="2" t="inlineStr">
        <is>
          <t>Peer-reviewed</t>
        </is>
      </c>
      <c r="I76" s="2" t="inlineStr"/>
      <c r="J76" s="2" t="inlineStr">
        <is>
          <t>Not applicable</t>
        </is>
      </c>
      <c r="K76" s="2" t="inlineStr"/>
      <c r="L76" s="2" t="inlineStr"/>
      <c r="M76" s="2" t="inlineStr"/>
      <c r="N76" s="3" t="n"/>
      <c r="O76" s="3" t="inlineStr">
        <is>
          <t>GPT-2 (several configurations)</t>
        </is>
      </c>
      <c r="P76" s="3" t="inlineStr">
        <is>
          <t>Fused-attention GPT-2 IP core on ZCU104 FPGA</t>
        </is>
      </c>
      <c r="Q76" s="3" t="inlineStr">
        <is>
          <t>GPT-2 (124M and larger configurations)</t>
        </is>
      </c>
      <c r="R76" s="6" t="inlineStr">
        <is>
          <t>Compact</t>
        </is>
      </c>
      <c r="S76" s="2" t="inlineStr">
        <is>
          <t>Compact</t>
        </is>
      </c>
      <c r="T76" s="2" t="inlineStr">
        <is>
          <t>No</t>
        </is>
      </c>
      <c r="U76" s="2" t="inlineStr">
        <is>
          <t>Robotics &amp; Real-Time</t>
        </is>
      </c>
      <c r="V76" s="3" t="inlineStr">
        <is>
          <t>N/A (zero-shot)</t>
        </is>
      </c>
      <c r="W76" s="3" t="inlineStr">
        <is>
          <t>N/A (throughput, power, energy, utilization)</t>
        </is>
      </c>
      <c r="X76" s="3" t="inlineStr">
        <is>
          <t>Embedded GPT-2 inference acceleration</t>
        </is>
      </c>
      <c r="Y76" s="3" t="inlineStr">
        <is>
          <t>Hardware-software co-design raises throughput 25.3% (67.11 → 84.03 samples/s)</t>
        </is>
      </c>
      <c r="Z76" s="2" t="inlineStr">
        <is>
          <t>India</t>
        </is>
      </c>
    </row>
    <row r="77">
      <c r="A77" s="2" t="n">
        <v>98</v>
      </c>
      <c r="B77" s="2" t="inlineStr">
        <is>
          <t>huang2024applying</t>
        </is>
      </c>
      <c r="C77" s="2" t="inlineStr">
        <is>
          <t>Huang et al.</t>
        </is>
      </c>
      <c r="D77" s="3" t="inlineStr">
        <is>
          <t>Applying Language Models for Recognizing and Normalizing Sensitive Information from Electronic Health Records Text Notes</t>
        </is>
      </c>
      <c r="E77" s="2" t="n">
        <v>2024</v>
      </c>
      <c r="F77" s="3" t="inlineStr">
        <is>
          <t>International Workshop on Deidentification of Electronic Medical Record Notes</t>
        </is>
      </c>
      <c r="G77" s="4" t="inlineStr">
        <is>
          <t>https://link.springer.com/book/10.1007/978-981-97-7966-6</t>
        </is>
      </c>
      <c r="H77" s="2" t="inlineStr">
        <is>
          <t>Peer-reviewed</t>
        </is>
      </c>
      <c r="I77" s="2" t="inlineStr"/>
      <c r="J77" s="2" t="inlineStr">
        <is>
          <t>Not applicable</t>
        </is>
      </c>
      <c r="K77" s="2" t="inlineStr"/>
      <c r="L77" s="2" t="inlineStr"/>
      <c r="M77" s="2" t="inlineStr"/>
      <c r="N77" s="3" t="n"/>
      <c r="O77" s="3" t="inlineStr">
        <is>
          <t>Pythia-160m-deduped; ChatGPT (tried, dropped)</t>
        </is>
      </c>
      <c r="P77" s="3" t="inlineStr">
        <is>
          <t>SHI recognition/normalization system</t>
        </is>
      </c>
      <c r="Q77" s="3" t="inlineStr">
        <is>
          <t>160M</t>
        </is>
      </c>
      <c r="R77" s="6" t="inlineStr">
        <is>
          <t>Compact</t>
        </is>
      </c>
      <c r="S77" s="2" t="inlineStr">
        <is>
          <t>Compact</t>
        </is>
      </c>
      <c r="T77" s="2" t="inlineStr">
        <is>
          <t>No</t>
        </is>
      </c>
      <c r="U77" s="2" t="inlineStr">
        <is>
          <t>Healthcare &amp; Biomedical</t>
        </is>
      </c>
      <c r="V77" s="3" t="inlineStr">
        <is>
          <t>AI-CUP 2023 SHI training data</t>
        </is>
      </c>
      <c r="W77" s="3" t="inlineStr">
        <is>
          <t>PPSEMR test set</t>
        </is>
      </c>
      <c r="X77" s="3" t="inlineStr">
        <is>
          <t>Recognition and normalization of sensitive health information in EMR notes</t>
        </is>
      </c>
      <c r="Y77" s="3" t="inlineStr">
        <is>
          <t>Pythia-160M system reaches micro-F 0.744 / macro-F 0.596; ChatGPT could not follow the prompt format</t>
        </is>
      </c>
      <c r="Z77" s="2" t="inlineStr">
        <is>
          <t>Taiwan</t>
        </is>
      </c>
    </row>
    <row r="78">
      <c r="A78" s="2" t="n">
        <v>99</v>
      </c>
      <c r="B78" s="2" t="inlineStr">
        <is>
          <t>chiu2024two</t>
        </is>
      </c>
      <c r="C78" s="2" t="inlineStr">
        <is>
          <t>Chiu et al.</t>
        </is>
      </c>
      <c r="D78" s="3" t="inlineStr">
        <is>
          <t>A Two-Stage Fine-Tuning Procedure to Improve the Performance of Language Models in Sensitive Health Information Recognition and Normalization Tasks</t>
        </is>
      </c>
      <c r="E78" s="2" t="n">
        <v>2024</v>
      </c>
      <c r="F78" s="3" t="inlineStr">
        <is>
          <t>International Workshop on Deidentification of Electronic Medical Record Notes</t>
        </is>
      </c>
      <c r="G78" s="4" t="inlineStr">
        <is>
          <t>https://link.springer.com/chapter/10.1007/978-981-97-7966-6_15</t>
        </is>
      </c>
      <c r="H78" s="2" t="inlineStr">
        <is>
          <t>Peer-reviewed</t>
        </is>
      </c>
      <c r="I78" s="2" t="inlineStr"/>
      <c r="J78" s="2" t="inlineStr">
        <is>
          <t>Not applicable</t>
        </is>
      </c>
      <c r="K78" s="2" t="inlineStr"/>
      <c r="L78" s="2" t="inlineStr"/>
      <c r="M78" s="2" t="inlineStr"/>
      <c r="N78" s="3" t="n"/>
      <c r="O78" s="3" t="inlineStr">
        <is>
          <t>Pythia (size not stated in abstract); ChatGPT for data augmentation</t>
        </is>
      </c>
      <c r="P78" s="3" t="inlineStr">
        <is>
          <t>Two-stage fine-tuned Pythia</t>
        </is>
      </c>
      <c r="Q78" s="3" t="inlineStr">
        <is>
          <t>Not stated in abstract (Pythia)</t>
        </is>
      </c>
      <c r="R78" s="2" t="inlineStr">
        <is>
          <t>Not stated</t>
        </is>
      </c>
      <c r="S78" s="2" t="inlineStr">
        <is>
          <t>Not stated</t>
        </is>
      </c>
      <c r="T78" s="2" t="inlineStr">
        <is>
          <t>No</t>
        </is>
      </c>
      <c r="U78" s="2" t="inlineStr">
        <is>
          <t>Healthcare &amp; Biomedical</t>
        </is>
      </c>
      <c r="V78" s="3" t="inlineStr">
        <is>
          <t>AI-CUP 2023 data + ChatGPT-augmented data</t>
        </is>
      </c>
      <c r="W78" s="3" t="inlineStr">
        <is>
          <t>Not stated in abstract</t>
        </is>
      </c>
      <c r="X78" s="3" t="inlineStr">
        <is>
          <t>Recognition and normalization of sensitive health information in EMR notes</t>
        </is>
      </c>
      <c r="Y78" s="3" t="inlineStr">
        <is>
          <t>Two-stage fine-tuning with ChatGPT-generated augmentation for SHI extraction and normalization</t>
        </is>
      </c>
      <c r="Z78" s="2" t="inlineStr">
        <is>
          <t>Taiwan</t>
        </is>
      </c>
    </row>
    <row r="79">
      <c r="A79" s="2" t="n">
        <v>104</v>
      </c>
      <c r="B79" s="2" t="inlineStr">
        <is>
          <t>wu2026ucoder</t>
        </is>
      </c>
      <c r="C79" s="2" t="inlineStr">
        <is>
          <t>Wu et al.</t>
        </is>
      </c>
      <c r="D79" s="3" t="inlineStr">
        <is>
          <t>UCoder: Unsupervised Code Generation by Internal Probing of Large Language Models</t>
        </is>
      </c>
      <c r="E79" s="2" t="n">
        <v>2026</v>
      </c>
      <c r="F79" s="3" t="inlineStr">
        <is>
          <t>Findings of ACL 2026</t>
        </is>
      </c>
      <c r="G79" s="4" t="inlineStr">
        <is>
          <t>https://doi.org/10.18653/v1/2026.findings-acl.277</t>
        </is>
      </c>
      <c r="H79" s="2" t="inlineStr">
        <is>
          <t>Peer-reviewed</t>
        </is>
      </c>
      <c r="I79" s="2" t="inlineStr"/>
      <c r="J79" s="2" t="inlineStr">
        <is>
          <t>Not applicable</t>
        </is>
      </c>
      <c r="K79" s="2" t="inlineStr"/>
      <c r="L79" s="2" t="inlineStr"/>
      <c r="M79" s="2" t="inlineStr"/>
      <c r="N79" s="3" t="n"/>
      <c r="O79" s="3" t="inlineStr">
        <is>
          <t>Qwen2.5-Coder-7B/14B/32B</t>
        </is>
      </c>
      <c r="P79" s="3" t="inlineStr">
        <is>
          <t>UCoder-7B/14B/32B</t>
        </is>
      </c>
      <c r="Q79" s="3" t="inlineStr">
        <is>
          <t>7B / 14B / 32B</t>
        </is>
      </c>
      <c r="R79" s="7" t="inlineStr">
        <is>
          <t>Higher</t>
        </is>
      </c>
      <c r="S79" s="2" t="inlineStr">
        <is>
          <t>Higher</t>
        </is>
      </c>
      <c r="T79" s="2" t="inlineStr">
        <is>
          <t>Yes</t>
        </is>
      </c>
      <c r="U79" s="2" t="inlineStr">
        <is>
          <t>Coding &amp; Software Eng.</t>
        </is>
      </c>
      <c r="V79" s="3" t="inlineStr">
        <is>
          <t>None (unsupervised internal probing, no external corpus)</t>
        </is>
      </c>
      <c r="W79" s="3" t="inlineStr">
        <is>
          <t>HumanEval, MBPP, MBPP+, LiveCodeBench, BigCodeBench</t>
        </is>
      </c>
      <c r="X79" s="3" t="inlineStr">
        <is>
          <t>Code generation</t>
        </is>
      </c>
      <c r="Y79" s="3" t="inlineStr">
        <is>
          <t>Unsupervised IPC framework trains code models without labelled or unlabelled code, competitive with supervised training</t>
        </is>
      </c>
      <c r="Z79" s="2" t="inlineStr">
        <is>
          <t>China</t>
        </is>
      </c>
    </row>
    <row r="80">
      <c r="A80" s="2" t="n">
        <v>105</v>
      </c>
      <c r="B80" s="2" t="inlineStr">
        <is>
          <t>aggarwal2025nextcoder</t>
        </is>
      </c>
      <c r="C80" s="2" t="inlineStr">
        <is>
          <t>Aggarwal et al.</t>
        </is>
      </c>
      <c r="D80" s="3" t="inlineStr">
        <is>
          <t>NextCoder: Robust Adaptation of Code LMs to Diverse Code Edits</t>
        </is>
      </c>
      <c r="E80" s="2" t="n">
        <v>2025</v>
      </c>
      <c r="F80" s="3" t="inlineStr">
        <is>
          <t>Forty-second International Conference on Machine Learning</t>
        </is>
      </c>
      <c r="G80" s="4" t="inlineStr">
        <is>
          <t>https://proceedings.mlr.press/v267/aggarwal25b.html</t>
        </is>
      </c>
      <c r="H80" s="2" t="inlineStr">
        <is>
          <t>Peer-reviewed</t>
        </is>
      </c>
      <c r="I80" s="2" t="inlineStr"/>
      <c r="J80" s="2" t="inlineStr">
        <is>
          <t>Not applicable</t>
        </is>
      </c>
      <c r="K80" s="2" t="inlineStr"/>
      <c r="L80" s="2" t="inlineStr"/>
      <c r="M80" s="2" t="inlineStr"/>
      <c r="N80" s="3" t="n"/>
      <c r="O80" s="3" t="inlineStr">
        <is>
          <t>Qwen2.5-Coder 3B/7B/14B/32B, DeepSeek-Coder</t>
        </is>
      </c>
      <c r="P80" s="3" t="inlineStr">
        <is>
          <t>NextCoder-3B/7B/14B/32B (SeleKT adaptation)</t>
        </is>
      </c>
      <c r="Q80" s="3" t="inlineStr">
        <is>
          <t>3B–32B</t>
        </is>
      </c>
      <c r="R80" s="7" t="inlineStr">
        <is>
          <t>Higher</t>
        </is>
      </c>
      <c r="S80" s="2" t="inlineStr">
        <is>
          <t>Moderate; Higher</t>
        </is>
      </c>
      <c r="T80" s="2" t="inlineStr">
        <is>
          <t>Yes</t>
        </is>
      </c>
      <c r="U80" s="2" t="inlineStr">
        <is>
          <t>Coding &amp; Software Eng.</t>
        </is>
      </c>
      <c r="V80" s="3" t="inlineStr">
        <is>
          <t>Synthetic code-edit data from seed examples</t>
        </is>
      </c>
      <c r="W80" s="3" t="inlineStr">
        <is>
          <t>Five code-editing benchmarks</t>
        </is>
      </c>
      <c r="X80" s="3" t="inlineStr">
        <is>
          <t>Code editing</t>
        </is>
      </c>
      <c r="Y80" s="3" t="inlineStr">
        <is>
          <t>SeleKT sparse adaptation yields NextCoder models that beat comparable-size models while retaining generation ability</t>
        </is>
      </c>
      <c r="Z80" s="2" t="inlineStr">
        <is>
          <t>India</t>
        </is>
      </c>
    </row>
    <row r="81">
      <c r="A81" s="2" t="n">
        <v>100</v>
      </c>
      <c r="B81" s="2" t="inlineStr">
        <is>
          <t>ugwumba2026enhancing</t>
        </is>
      </c>
      <c r="C81" s="2" t="inlineStr">
        <is>
          <t>Ugwumba</t>
        </is>
      </c>
      <c r="D81" s="3" t="inlineStr">
        <is>
          <t>Enhancing Clinical Decision Support and Patient Communication Using MedGemma and Open Health AI Models</t>
        </is>
      </c>
      <c r="E81" s="2" t="n">
        <v>2026</v>
      </c>
      <c r="F81" s="3" t="inlineStr">
        <is>
          <t>Research Square (preprint), doi:10.21203/rs.3.rs-8695070/v1</t>
        </is>
      </c>
      <c r="G81" s="4" t="inlineStr">
        <is>
          <t>https://doi.org/10.21203/rs.3.rs-8695070/v1</t>
        </is>
      </c>
      <c r="H81" s="2" t="inlineStr">
        <is>
          <t>Preprint</t>
        </is>
      </c>
      <c r="I81" s="2" t="inlineStr">
        <is>
          <t>Research Square</t>
        </is>
      </c>
      <c r="J81" s="2" t="inlineStr">
        <is>
          <t>a (GitHub code)</t>
        </is>
      </c>
      <c r="K81" s="2" t="inlineStr">
        <is>
          <t>Yes</t>
        </is>
      </c>
      <c r="L81" s="2" t="inlineStr"/>
      <c r="M81" s="2" t="inlineStr"/>
      <c r="N81" s="3" t="n"/>
      <c r="O81" s="3" t="inlineStr">
        <is>
          <t>MedGemma, Health AI Developer Foundations models</t>
        </is>
      </c>
      <c r="P81" s="3" t="inlineStr">
        <is>
          <t>MedGemma-based clinical application</t>
        </is>
      </c>
      <c r="Q81" s="3" t="inlineStr">
        <is>
          <t>Not stated (MedGemma)</t>
        </is>
      </c>
      <c r="R81" s="2" t="inlineStr">
        <is>
          <t>Not stated</t>
        </is>
      </c>
      <c r="S81" s="2" t="inlineStr">
        <is>
          <t>Not stated</t>
        </is>
      </c>
      <c r="T81" s="2" t="inlineStr">
        <is>
          <t>No</t>
        </is>
      </c>
      <c r="U81" s="2" t="inlineStr">
        <is>
          <t>Healthcare &amp; Biomedical</t>
        </is>
      </c>
      <c r="V81" s="3" t="inlineStr">
        <is>
          <t>Real-world medical text datasets</t>
        </is>
      </c>
      <c r="W81" s="3" t="inlineStr">
        <is>
          <t>Same (contextual understanding, relevance, usefulness)</t>
        </is>
      </c>
      <c r="X81" s="3" t="inlineStr">
        <is>
          <t>Clinical decision support and patient communication</t>
        </is>
      </c>
      <c r="Y81" s="3" t="inlineStr">
        <is>
          <t>MedGemma-based system reduces documentation burden and improves information access</t>
        </is>
      </c>
      <c r="Z81" s="2" t="inlineStr">
        <is>
          <t>Nigeria</t>
        </is>
      </c>
    </row>
    <row r="82">
      <c r="A82" s="2" t="n">
        <v>101</v>
      </c>
      <c r="B82" s="2" t="inlineStr">
        <is>
          <t>buskila2026domain</t>
        </is>
      </c>
      <c r="C82" s="2" t="inlineStr">
        <is>
          <t>Buskila</t>
        </is>
      </c>
      <c r="D82" s="3" t="inlineStr">
        <is>
          <t>Domain Fine-Tuning vs. Retrieval-Augmented Generation for Medical Multiple-Choice Question Answering: A Controlled Comparison at the 4B-Parameter Scale</t>
        </is>
      </c>
      <c r="E82" s="2" t="n">
        <v>2026</v>
      </c>
      <c r="F82" s="3" t="inlineStr">
        <is>
          <t>arXiv preprint arXiv:2604.23801</t>
        </is>
      </c>
      <c r="G82" s="4" t="inlineStr">
        <is>
          <t>https://arxiv.org/abs/2604.23801</t>
        </is>
      </c>
      <c r="H82" s="2" t="inlineStr">
        <is>
          <t>Preprint</t>
        </is>
      </c>
      <c r="I82" s="2" t="inlineStr"/>
      <c r="J82" s="2" t="inlineStr">
        <is>
          <t>a (code: github.com/aviad-buskila/what_makes_it_right)</t>
        </is>
      </c>
      <c r="K82" s="2" t="inlineStr">
        <is>
          <t>Yes</t>
        </is>
      </c>
      <c r="L82" s="2" t="inlineStr"/>
      <c r="M82" s="2" t="inlineStr"/>
      <c r="N82" s="3" t="n"/>
      <c r="O82" s="3" t="inlineStr">
        <is>
          <t>Gemma 3 4B, MedGemma 4B (4-bit, Ollama)</t>
        </is>
      </c>
      <c r="P82" s="3" t="inlineStr">
        <is>
          <t>None (controlled 2×2 comparison)</t>
        </is>
      </c>
      <c r="Q82" s="3" t="inlineStr">
        <is>
          <t>4B</t>
        </is>
      </c>
      <c r="R82" s="5" t="inlineStr">
        <is>
          <t>Moderate</t>
        </is>
      </c>
      <c r="S82" s="2" t="inlineStr">
        <is>
          <t>Moderate</t>
        </is>
      </c>
      <c r="T82" s="2" t="inlineStr">
        <is>
          <t>No</t>
        </is>
      </c>
      <c r="U82" s="2" t="inlineStr">
        <is>
          <t>Healthcare &amp; Biomedical</t>
        </is>
      </c>
      <c r="V82" s="3" t="inlineStr">
        <is>
          <t>N/A (RAG corpus: MedMCQA explanations)</t>
        </is>
      </c>
      <c r="W82" s="3" t="inlineStr">
        <is>
          <t>MedQA-USMLE 4-option test (1,273 questions)</t>
        </is>
      </c>
      <c r="X82" s="3" t="inlineStr">
        <is>
          <t>Medical multiple-choice QA</t>
        </is>
      </c>
      <c r="Y82" s="3" t="inlineStr">
        <is>
          <t>Domain fine-tuning +6.8 pp (53.3% vs 46.4%); RAG gives no significant gain</t>
        </is>
      </c>
      <c r="Z82" s="2" t="inlineStr">
        <is>
          <t>Israel</t>
        </is>
      </c>
    </row>
    <row r="83">
      <c r="A83" s="2" t="n">
        <v>102</v>
      </c>
      <c r="B83" s="2" t="inlineStr">
        <is>
          <t>liu2025medgemma</t>
        </is>
      </c>
      <c r="C83" s="2" t="inlineStr">
        <is>
          <t>Liu et al.</t>
        </is>
      </c>
      <c r="D83" s="3" t="inlineStr">
        <is>
          <t>MedGemma-Critic: Fine-Tuning Medical Language Models for Domain-Specialised Text Evaluation</t>
        </is>
      </c>
      <c r="E83" s="2" t="n">
        <v>2025</v>
      </c>
      <c r="F83" s="3" t="inlineStr">
        <is>
          <t>2025 International Conference on Digital Image Computing: Techniques and Applications (DICTA)</t>
        </is>
      </c>
      <c r="G83" s="4" t="inlineStr">
        <is>
          <t>https://ieeexplore.ieee.org/abstract/document/11302446</t>
        </is>
      </c>
      <c r="H83" s="2" t="inlineStr">
        <is>
          <t>Peer-reviewed</t>
        </is>
      </c>
      <c r="I83" s="2" t="inlineStr"/>
      <c r="J83" s="2" t="inlineStr">
        <is>
          <t>Not applicable</t>
        </is>
      </c>
      <c r="K83" s="2" t="inlineStr"/>
      <c r="L83" s="2" t="inlineStr"/>
      <c r="M83" s="2" t="inlineStr"/>
      <c r="N83" s="3" t="n"/>
      <c r="O83" s="3" t="inlineStr">
        <is>
          <t>MedGemma-4B</t>
        </is>
      </c>
      <c r="P83" s="3" t="inlineStr">
        <is>
          <t>MedGemma-Critic</t>
        </is>
      </c>
      <c r="Q83" s="3" t="inlineStr">
        <is>
          <t>4B</t>
        </is>
      </c>
      <c r="R83" s="5" t="inlineStr">
        <is>
          <t>Moderate</t>
        </is>
      </c>
      <c r="S83" s="2" t="inlineStr">
        <is>
          <t>Moderate</t>
        </is>
      </c>
      <c r="T83" s="2" t="inlineStr">
        <is>
          <t>No</t>
        </is>
      </c>
      <c r="U83" s="2" t="inlineStr">
        <is>
          <t>Healthcare &amp; Biomedical</t>
        </is>
      </c>
      <c r="V83" s="3" t="inlineStr">
        <is>
          <t>~3k samples from a multi-agent curation pipeline</t>
        </is>
      </c>
      <c r="W83" s="3" t="inlineStr">
        <is>
          <t>Clinician-annotated medical text evaluation set</t>
        </is>
      </c>
      <c r="X83" s="3" t="inlineStr">
        <is>
          <t>Evaluating medical AI-generated text (scoring and pairwise preference)</t>
        </is>
      </c>
      <c r="Y83" s="3" t="inlineStr">
        <is>
          <t>Domain critic beats the zero-shot backbone and general-purpose critics on decision match rate</t>
        </is>
      </c>
      <c r="Z83" s="2" t="inlineStr">
        <is>
          <t>Australia</t>
        </is>
      </c>
    </row>
    <row r="84">
      <c r="A84" s="2" t="n">
        <v>103</v>
      </c>
      <c r="B84" s="2" t="inlineStr">
        <is>
          <t>he2026locally</t>
        </is>
      </c>
      <c r="C84" s="2" t="inlineStr">
        <is>
          <t>He et al.</t>
        </is>
      </c>
      <c r="D84" s="3" t="inlineStr">
        <is>
          <t>Locally-Deployed vs. Cloud-Based AI in Healthcare: Evaluating DeepSeek-R1:8b, DeepSeek-R1, and ChatGPT o3-mini-high for Complex Medical Diagnostics</t>
        </is>
      </c>
      <c r="E84" s="2" t="n">
        <v>2026</v>
      </c>
      <c r="F84" s="3" t="inlineStr">
        <is>
          <t>Frontiers in Digital Health</t>
        </is>
      </c>
      <c r="G84" s="4" t="inlineStr">
        <is>
          <t>https://doi.org/10.3389/fdgth.2026.1785443</t>
        </is>
      </c>
      <c r="H84" s="2" t="inlineStr">
        <is>
          <t>Peer-reviewed</t>
        </is>
      </c>
      <c r="I84" s="2" t="inlineStr"/>
      <c r="J84" s="2" t="inlineStr">
        <is>
          <t>Not applicable</t>
        </is>
      </c>
      <c r="K84" s="2" t="inlineStr"/>
      <c r="L84" s="2" t="inlineStr"/>
      <c r="M84" s="2" t="inlineStr"/>
      <c r="N84" s="3" t="n"/>
      <c r="O84" s="3" t="inlineStr">
        <is>
          <t>DeepSeek-R1:8b (local), DeepSeek-R1, ChatGPT o3-mini-high</t>
        </is>
      </c>
      <c r="P84" s="3" t="inlineStr">
        <is>
          <t>None (comparative evaluation)</t>
        </is>
      </c>
      <c r="Q84" s="3" t="inlineStr">
        <is>
          <t>8B (local model)</t>
        </is>
      </c>
      <c r="R84" s="7" t="inlineStr">
        <is>
          <t>Higher</t>
        </is>
      </c>
      <c r="S84" s="2" t="inlineStr">
        <is>
          <t>Higher</t>
        </is>
      </c>
      <c r="T84" s="2" t="inlineStr">
        <is>
          <t>Yes</t>
        </is>
      </c>
      <c r="U84" s="2" t="inlineStr">
        <is>
          <t>Healthcare &amp; Biomedical</t>
        </is>
      </c>
      <c r="V84" s="3" t="inlineStr">
        <is>
          <t>N/A</t>
        </is>
      </c>
      <c r="W84" s="3" t="inlineStr">
        <is>
          <t>Complex medical diagnostic cases</t>
        </is>
      </c>
      <c r="X84" s="3" t="inlineStr">
        <is>
          <t>Medical diagnostics: local vs cloud reasoning models</t>
        </is>
      </c>
      <c r="Y84" s="3" t="inlineStr">
        <is>
          <t>Compares a locally deployed 8B reasoning model with cloud models on accuracy and response characteristics</t>
        </is>
      </c>
      <c r="Z84" s="2" t="inlineStr">
        <is>
          <t>China</t>
        </is>
      </c>
    </row>
    <row r="85">
      <c r="A85" s="2" t="n">
        <v>121</v>
      </c>
      <c r="B85" s="2" t="inlineStr">
        <is>
          <t>abstreiter2026sometimes</t>
        </is>
      </c>
      <c r="C85" s="2" t="inlineStr">
        <is>
          <t>Abstreiter et al.</t>
        </is>
      </c>
      <c r="D85" s="3" t="inlineStr">
        <is>
          <t>Sometimes Painful but Promising: Feasibility and Trade-offs of On-Device Language Model Inference</t>
        </is>
      </c>
      <c r="E85" s="2" t="n">
        <v>2025</v>
      </c>
      <c r="F85" s="3" t="inlineStr">
        <is>
          <t>ACM Transactions on Embedded Computing Systems</t>
        </is>
      </c>
      <c r="G85" s="4" t="inlineStr">
        <is>
          <t>https://arxiv.org/abs/2503.09114</t>
        </is>
      </c>
      <c r="H85" s="2" t="inlineStr">
        <is>
          <t>Peer-reviewed</t>
        </is>
      </c>
      <c r="I85" s="2" t="inlineStr"/>
      <c r="J85" s="2" t="inlineStr">
        <is>
          <t>Not applicable</t>
        </is>
      </c>
      <c r="K85" s="2" t="inlineStr"/>
      <c r="L85" s="2" t="inlineStr"/>
      <c r="M85" s="2" t="inlineStr"/>
      <c r="N85" s="3" t="inlineStr">
        <is>
          <t>None</t>
        </is>
      </c>
      <c r="O85" s="3" t="inlineStr">
        <is>
          <t>Qwen2-0.5B, Flan-T5-Large, Llama-3.2-1B/3B, Qwen2-1.5B, Gemma-2-2B/9B, Phi-3.5-mini, Yi-1.5-6B, InternLM-2.5-7B, Llama-3.1-8B; GPT-4o (comparator)</t>
        </is>
      </c>
      <c r="P85" s="3" t="inlineStr">
        <is>
          <t>N/A</t>
        </is>
      </c>
      <c r="Q85" s="3" t="inlineStr">
        <is>
          <t>0.5B–9.2B (11 models)</t>
        </is>
      </c>
      <c r="R85" s="2" t="inlineStr">
        <is>
          <t>Mixed</t>
        </is>
      </c>
      <c r="S85" s="2" t="inlineStr">
        <is>
          <t>Compact; Moderate; Higher</t>
        </is>
      </c>
      <c r="T85" s="2" t="inlineStr">
        <is>
          <t>Yes</t>
        </is>
      </c>
      <c r="U85" s="2" t="inlineStr">
        <is>
          <t>General (techniques / evaluation)</t>
        </is>
      </c>
      <c r="V85" s="3" t="inlineStr">
        <is>
          <t>N/A</t>
        </is>
      </c>
      <c r="W85" s="3" t="inlineStr">
        <is>
          <t>MMLU, GSM8K, HumanEval</t>
        </is>
      </c>
      <c r="X85" s="3" t="inlineStr">
        <is>
          <t>on-device inference benchmarking</t>
        </is>
      </c>
      <c r="Y85" s="3" t="inlineStr">
        <is>
          <t>Evaluates feasibility and trade-offs of generative LM inference on edge devices</t>
        </is>
      </c>
      <c r="Z85" s="2" t="inlineStr">
        <is>
          <t>Finland</t>
        </is>
      </c>
    </row>
    <row r="86">
      <c r="A86" s="2" t="n">
        <v>122</v>
      </c>
      <c r="B86" s="2" t="inlineStr">
        <is>
          <t>prieto2025edge</t>
        </is>
      </c>
      <c r="C86" s="2" t="inlineStr">
        <is>
          <t>Prieto et al.</t>
        </is>
      </c>
      <c r="D86" s="3" t="inlineStr">
        <is>
          <t>Edge Deployment of Small Language Models, a comprehensive comparison of CPU, GPU and NPU backends</t>
        </is>
      </c>
      <c r="E86" s="2" t="n">
        <v>2025</v>
      </c>
      <c r="F86" s="3" t="inlineStr">
        <is>
          <t>arXiv preprint arXiv:2511.22334</t>
        </is>
      </c>
      <c r="G86" s="4" t="inlineStr">
        <is>
          <t>https://arxiv.org/abs/2511.22334</t>
        </is>
      </c>
      <c r="H86" s="2" t="inlineStr">
        <is>
          <t>Preprint</t>
        </is>
      </c>
      <c r="I86" s="2" t="inlineStr"/>
      <c r="J86" s="2" t="inlineStr">
        <is>
          <t>b (6)</t>
        </is>
      </c>
      <c r="K86" s="2" t="inlineStr"/>
      <c r="L86" s="2" t="inlineStr">
        <is>
          <t>Yes</t>
        </is>
      </c>
      <c r="M86" s="2" t="inlineStr"/>
      <c r="N86" s="3" t="inlineStr">
        <is>
          <t>None</t>
        </is>
      </c>
      <c r="O86" s="3" t="inlineStr">
        <is>
          <t>Qwen3-0.6B/1.7B/8B, Qwen2.5-Coder-1.5B, Llama-3.1-8B, Llama-3.2-1B/3B, Llama-2-7B, DeepSeek-R1 distills (8B, 14B), Falcon3-1B</t>
        </is>
      </c>
      <c r="P86" s="3" t="inlineStr">
        <is>
          <t>N/A</t>
        </is>
      </c>
      <c r="Q86" s="3" t="inlineStr">
        <is>
          <t>0.6B–14B</t>
        </is>
      </c>
      <c r="R86" s="2" t="inlineStr">
        <is>
          <t>Mixed</t>
        </is>
      </c>
      <c r="S86" s="2" t="inlineStr">
        <is>
          <t>Compact; Moderate; Higher</t>
        </is>
      </c>
      <c r="T86" s="2" t="inlineStr">
        <is>
          <t>Yes</t>
        </is>
      </c>
      <c r="U86" s="2" t="inlineStr">
        <is>
          <t>General (techniques / evaluation)</t>
        </is>
      </c>
      <c r="V86" s="3" t="inlineStr">
        <is>
          <t>N/A</t>
        </is>
      </c>
      <c r="W86" s="3" t="inlineStr">
        <is>
          <t>N/A</t>
        </is>
      </c>
      <c r="X86" s="3" t="inlineStr">
        <is>
          <t>inference performance and energy on CPU/GPU/NPU</t>
        </is>
      </c>
      <c r="Y86" s="3" t="inlineStr">
        <is>
          <t>Compares edge backends for SLM inference speed and energy</t>
        </is>
      </c>
      <c r="Z86" s="2" t="inlineStr">
        <is>
          <t>Spain</t>
        </is>
      </c>
    </row>
    <row r="87">
      <c r="A87" s="2" t="n">
        <v>123</v>
      </c>
      <c r="B87" s="2" t="inlineStr">
        <is>
          <t>muralidharan2024compact</t>
        </is>
      </c>
      <c r="C87" s="2" t="inlineStr">
        <is>
          <t>Muralidharan et al.</t>
        </is>
      </c>
      <c r="D87" s="3" t="inlineStr">
        <is>
          <t>Compact Language Models via Pruning and Knowledge Distillation</t>
        </is>
      </c>
      <c r="E87" s="2" t="n">
        <v>2024</v>
      </c>
      <c r="F87" s="3" t="inlineStr">
        <is>
          <t>Advances in Neural Information Processing Systems</t>
        </is>
      </c>
      <c r="G87" s="4" t="inlineStr">
        <is>
          <t>https://proceedings.neurips.cc/paper_files/paper/2024/hash/4822991365c962105b1b95b1107d30e5-Abstract-Conference.html</t>
        </is>
      </c>
      <c r="H87" s="2" t="inlineStr">
        <is>
          <t>Peer-reviewed</t>
        </is>
      </c>
      <c r="I87" s="2" t="inlineStr"/>
      <c r="J87" s="2" t="inlineStr">
        <is>
          <t>Not applicable</t>
        </is>
      </c>
      <c r="K87" s="2" t="inlineStr"/>
      <c r="L87" s="2" t="inlineStr"/>
      <c r="M87" s="2" t="inlineStr"/>
      <c r="N87" s="3" t="n"/>
      <c r="O87" s="3" t="inlineStr">
        <is>
          <t>Nemotron-4, Mistral 7B, Gemma 7B, LLaMa-3 8B</t>
        </is>
      </c>
      <c r="P87" s="3" t="inlineStr">
        <is>
          <t>MINITRON 8B, MINITRON 4B</t>
        </is>
      </c>
      <c r="Q87" s="3" t="inlineStr">
        <is>
          <t>8B, 4B</t>
        </is>
      </c>
      <c r="R87" s="7" t="inlineStr">
        <is>
          <t>Higher</t>
        </is>
      </c>
      <c r="S87" s="2" t="inlineStr">
        <is>
          <t>Moderate; Higher</t>
        </is>
      </c>
      <c r="T87" s="2" t="inlineStr">
        <is>
          <t>Yes</t>
        </is>
      </c>
      <c r="U87" s="2" t="inlineStr">
        <is>
          <t>General (techniques / evaluation)</t>
        </is>
      </c>
      <c r="V87" s="3" t="inlineStr">
        <is>
          <t>N/A</t>
        </is>
      </c>
      <c r="W87" s="3" t="inlineStr">
        <is>
          <t>MMLU</t>
        </is>
      </c>
      <c r="X87" s="3" t="inlineStr">
        <is>
          <t>language modeling</t>
        </is>
      </c>
      <c r="Y87" s="3" t="inlineStr">
        <is>
          <t>The paper presents a method for compressing large language models through pruning and knowledge distillation, achieving significant cost savings and improved performance.</t>
        </is>
      </c>
      <c r="Z87" s="2" t="inlineStr">
        <is>
          <t>United States</t>
        </is>
      </c>
    </row>
    <row r="88">
      <c r="A88" s="2" t="n">
        <v>110</v>
      </c>
      <c r="B88" s="2" t="inlineStr">
        <is>
          <t>rahman2023quantized</t>
        </is>
      </c>
      <c r="C88" s="2" t="inlineStr">
        <is>
          <t>Rahman et al.</t>
        </is>
      </c>
      <c r="D88" s="3" t="inlineStr">
        <is>
          <t>Quantized Transformer Language Model Implementations on Edge Devices</t>
        </is>
      </c>
      <c r="E88" s="2" t="n">
        <v>2023</v>
      </c>
      <c r="F88" s="3" t="inlineStr">
        <is>
          <t>2023 International Conference on Machine Learning and Applications (ICMLA)</t>
        </is>
      </c>
      <c r="G88" s="4" t="inlineStr">
        <is>
          <t>https://arxiv.org/abs/2310.03971</t>
        </is>
      </c>
      <c r="H88" s="2" t="inlineStr">
        <is>
          <t>Peer-reviewed</t>
        </is>
      </c>
      <c r="I88" s="2" t="inlineStr"/>
      <c r="J88" s="2" t="inlineStr">
        <is>
          <t>Not applicable</t>
        </is>
      </c>
      <c r="K88" s="2" t="inlineStr"/>
      <c r="L88" s="2" t="inlineStr"/>
      <c r="M88" s="2" t="inlineStr"/>
      <c r="N88" s="3" t="n"/>
      <c r="O88" s="3" t="inlineStr">
        <is>
          <t>BERT, MobileBERT</t>
        </is>
      </c>
      <c r="P88" s="3" t="inlineStr">
        <is>
          <t>N/A</t>
        </is>
      </c>
      <c r="Q88" s="3" t="inlineStr">
        <is>
          <t>MobileBERT (~25M)</t>
        </is>
      </c>
      <c r="R88" s="8" t="inlineStr">
        <is>
          <t>Lightweight</t>
        </is>
      </c>
      <c r="S88" s="2" t="inlineStr">
        <is>
          <t>Lightweight</t>
        </is>
      </c>
      <c r="T88" s="2" t="inlineStr">
        <is>
          <t>No</t>
        </is>
      </c>
      <c r="U88" s="2" t="inlineStr">
        <is>
          <t>Robotics &amp; Real-Time</t>
        </is>
      </c>
      <c r="V88" s="3" t="inlineStr">
        <is>
          <t>RepLab 2013</t>
        </is>
      </c>
      <c r="W88" s="3" t="inlineStr">
        <is>
          <t>N/A</t>
        </is>
      </c>
      <c r="X88" s="3" t="inlineStr">
        <is>
          <t>Reputation analysis</t>
        </is>
      </c>
      <c r="Y88" s="3" t="inlineStr">
        <is>
          <t>The study evaluates the performance of quantized MobileBERT models on edge devices, demonstrating significant reductions in model size with minimal accuracy loss.</t>
        </is>
      </c>
      <c r="Z88" s="2" t="inlineStr">
        <is>
          <t>United States</t>
        </is>
      </c>
    </row>
    <row r="89">
      <c r="A89" s="2" t="n">
        <v>124</v>
      </c>
      <c r="B89" s="2" t="inlineStr">
        <is>
          <t>srivastava2025</t>
        </is>
      </c>
      <c r="C89" s="2" t="inlineStr">
        <is>
          <t>Srivastava et al.</t>
        </is>
      </c>
      <c r="D89" s="3" t="inlineStr">
        <is>
          <t>Towards Reasoning Ability of Small Language Models</t>
        </is>
      </c>
      <c r="E89" s="2" t="n">
        <v>2025</v>
      </c>
      <c r="F89" s="3" t="inlineStr">
        <is>
          <t>Proceedings of the 2025 Conference on Empirical Methods inNatural Language Processing (EMNLP)</t>
        </is>
      </c>
      <c r="G89" s="4" t="inlineStr">
        <is>
          <t>https://aclanthology.org/2025.emnlp-main.1659</t>
        </is>
      </c>
      <c r="H89" s="2" t="inlineStr">
        <is>
          <t>Peer-reviewed</t>
        </is>
      </c>
      <c r="I89" s="2" t="inlineStr"/>
      <c r="J89" s="2" t="inlineStr">
        <is>
          <t>Not applicable</t>
        </is>
      </c>
      <c r="K89" s="2" t="inlineStr"/>
      <c r="L89" s="2" t="inlineStr"/>
      <c r="M89" s="2" t="inlineStr"/>
      <c r="N89" s="3" t="n"/>
      <c r="O89" s="3" t="inlineStr">
        <is>
          <t>GPT-4, Phi-3.5-mini, DeepSeek-R1, LLaMA-70B</t>
        </is>
      </c>
      <c r="P89" s="3" t="inlineStr">
        <is>
          <t>THINKSLM</t>
        </is>
      </c>
      <c r="Q89" s="3" t="inlineStr">
        <is>
          <t>72 SLMs, e.g. Qwen2.5-0.5B–3B, SmolLM2-1.7B, Llama-3.1-8B (larger models up to ~32B as references)</t>
        </is>
      </c>
      <c r="R89" s="2" t="inlineStr">
        <is>
          <t>Mixed</t>
        </is>
      </c>
      <c r="S89" s="2" t="inlineStr">
        <is>
          <t>Compact; Moderate; Higher</t>
        </is>
      </c>
      <c r="T89" s="2" t="inlineStr">
        <is>
          <t>Yes</t>
        </is>
      </c>
      <c r="U89" s="2" t="inlineStr">
        <is>
          <t>General (techniques / evaluation)</t>
        </is>
      </c>
      <c r="V89" s="3" t="inlineStr">
        <is>
          <t>N/A</t>
        </is>
      </c>
      <c r="W89" s="3" t="inlineStr">
        <is>
          <t>17 reasoning benchmarks</t>
        </is>
      </c>
      <c r="X89" s="3" t="inlineStr">
        <is>
          <t>reasoning</t>
        </is>
      </c>
      <c r="Y89" s="3" t="inlineStr">
        <is>
          <t>This paper introduces THINKSLM, the first extensive benchmark to systematically evaluate and study the reasoning abilities of small language models.</t>
        </is>
      </c>
      <c r="Z89" s="2" t="inlineStr">
        <is>
          <t>United States</t>
        </is>
      </c>
    </row>
    <row r="90">
      <c r="A90" s="2" t="n">
        <v>125</v>
      </c>
      <c r="B90" s="2" t="inlineStr">
        <is>
          <t>bi2026judgeboard</t>
        </is>
      </c>
      <c r="C90" s="2" t="inlineStr">
        <is>
          <t>Bi et al.</t>
        </is>
      </c>
      <c r="D90" s="3" t="inlineStr">
        <is>
          <t>JudgeBoard: Benchmarking and Enhancing Small Language Models for Reasoning Evaluation</t>
        </is>
      </c>
      <c r="E90" s="2" t="n">
        <v>2026</v>
      </c>
      <c r="F90" s="3" t="inlineStr">
        <is>
          <t>Proceedings of the AAAI Conference on Artificial Intelligence</t>
        </is>
      </c>
      <c r="G90" s="4" t="inlineStr">
        <is>
          <t>https://ojs.aaai.org/index.php/AAAI/article/view/40256</t>
        </is>
      </c>
      <c r="H90" s="2" t="inlineStr">
        <is>
          <t>Peer-reviewed</t>
        </is>
      </c>
      <c r="I90" s="2" t="inlineStr"/>
      <c r="J90" s="2" t="inlineStr">
        <is>
          <t>Not applicable</t>
        </is>
      </c>
      <c r="K90" s="2" t="inlineStr"/>
      <c r="L90" s="2" t="inlineStr"/>
      <c r="M90" s="2" t="inlineStr"/>
      <c r="N90" s="3" t="n"/>
      <c r="O90" s="3" t="inlineStr">
        <is>
          <t>N/A</t>
        </is>
      </c>
      <c r="P90" s="3" t="inlineStr">
        <is>
          <t>JudgeBoard, MAJ</t>
        </is>
      </c>
      <c r="Q90" s="3" t="inlineStr">
        <is>
          <t>3B–14B (Llama3.2-3B, Qwen3-4B/8B/14B, Gemma3-4B/12B, Mistral-7B, Llama3.1-8B)</t>
        </is>
      </c>
      <c r="R90" s="2" t="inlineStr">
        <is>
          <t>Mixed</t>
        </is>
      </c>
      <c r="S90" s="2" t="inlineStr">
        <is>
          <t>Moderate; Higher</t>
        </is>
      </c>
      <c r="T90" s="2" t="inlineStr">
        <is>
          <t>Yes</t>
        </is>
      </c>
      <c r="U90" s="2" t="inlineStr">
        <is>
          <t>General (techniques / evaluation)</t>
        </is>
      </c>
      <c r="V90" s="3" t="inlineStr">
        <is>
          <t>N/A</t>
        </is>
      </c>
      <c r="W90" s="3" t="inlineStr">
        <is>
          <t>MATH, five benchmark datasets</t>
        </is>
      </c>
      <c r="X90" s="3" t="inlineStr">
        <is>
          <t>reasoning evaluation</t>
        </is>
      </c>
      <c r="Y90" s="3" t="inlineStr">
        <is>
          <t>The paper introduces JudgeBoard, a novel evaluation pipeline for assessing the correctness of answers from small language models without requiring answer comparisons.</t>
        </is>
      </c>
      <c r="Z90" s="2" t="inlineStr">
        <is>
          <t>United States</t>
        </is>
      </c>
    </row>
    <row r="91">
      <c r="A91" s="2" t="n">
        <v>126</v>
      </c>
      <c r="B91" s="2" t="inlineStr">
        <is>
          <t>sinha2025ready</t>
        </is>
      </c>
      <c r="C91" s="2" t="inlineStr">
        <is>
          <t>Sinha et al.</t>
        </is>
      </c>
      <c r="D91" s="3" t="inlineStr">
        <is>
          <t>Are Small Language Models Ready to Compete with Large Language Models for Practical Applications?</t>
        </is>
      </c>
      <c r="E91" s="2" t="n">
        <v>2025</v>
      </c>
      <c r="F91" s="3" t="inlineStr">
        <is>
          <t>Proceedings of the 5th Workshop on Trustworthy Natural Language Processing (TrustNLP 2025)</t>
        </is>
      </c>
      <c r="G91" s="4" t="inlineStr">
        <is>
          <t>https://aclanthology.org/2025.trustnlp-main.25</t>
        </is>
      </c>
      <c r="H91" s="2" t="inlineStr">
        <is>
          <t>Peer-reviewed</t>
        </is>
      </c>
      <c r="I91" s="2" t="inlineStr"/>
      <c r="J91" s="2" t="inlineStr">
        <is>
          <t>Not applicable</t>
        </is>
      </c>
      <c r="K91" s="2" t="inlineStr"/>
      <c r="L91" s="2" t="inlineStr"/>
      <c r="M91" s="2" t="inlineStr"/>
      <c r="N91" s="3" t="n"/>
      <c r="O91" s="3" t="inlineStr">
        <is>
          <t>DeepSeek-v2, GPT-4o-mini, Gemini-1.5-Pro</t>
        </is>
      </c>
      <c r="P91" s="3" t="inlineStr">
        <is>
          <t>SmolLM-1.7B, Gemma, Llama-3, Falcon-2, SmolLM-1.7B-I, Gemma-I, Llama-3-I, Mistral-7B-I</t>
        </is>
      </c>
      <c r="Q91" s="3" t="inlineStr">
        <is>
          <t>1.7B, 2B, 7B, 8B, 11B</t>
        </is>
      </c>
      <c r="R91" s="2" t="inlineStr">
        <is>
          <t>Mixed</t>
        </is>
      </c>
      <c r="S91" s="2" t="inlineStr">
        <is>
          <t>Moderate; Higher</t>
        </is>
      </c>
      <c r="T91" s="2" t="inlineStr">
        <is>
          <t>Yes</t>
        </is>
      </c>
      <c r="U91" s="2" t="inlineStr">
        <is>
          <t>General (techniques / evaluation)</t>
        </is>
      </c>
      <c r="V91" s="3" t="inlineStr">
        <is>
          <t>N/A</t>
        </is>
      </c>
      <c r="W91" s="3" t="inlineStr">
        <is>
          <t>N/A</t>
        </is>
      </c>
      <c r="X91" s="3" t="inlineStr">
        <is>
          <t>Title Generation, News, Deductive Reasoning, Generation</t>
        </is>
      </c>
      <c r="Y91" s="3" t="inlineStr">
        <is>
          <t>Proposes a framework to evaluate small, open LMs in practical settings and compares their performance against SOTA LLMs.</t>
        </is>
      </c>
      <c r="Z91" s="2" t="inlineStr">
        <is>
          <t>United States</t>
        </is>
      </c>
    </row>
    <row r="92">
      <c r="A92" s="2" t="n">
        <v>127</v>
      </c>
      <c r="B92" s="2" t="inlineStr">
        <is>
          <t>husom2025sustainable</t>
        </is>
      </c>
      <c r="C92" s="2" t="inlineStr">
        <is>
          <t>Husom et al.</t>
        </is>
      </c>
      <c r="D92" s="3" t="inlineStr">
        <is>
          <t>Sustainable LLM Inference for Edge AI: Evaluating Quantized LLMs for Energy Efficiency, Output Accuracy, and Inference Latency</t>
        </is>
      </c>
      <c r="E92" s="2" t="n">
        <v>2025</v>
      </c>
      <c r="F92" s="3" t="inlineStr">
        <is>
          <t>ACM Transactions on Internet of Things 6(4)</t>
        </is>
      </c>
      <c r="G92" s="4" t="inlineStr">
        <is>
          <t>https://arxiv.org/abs/2504.03360</t>
        </is>
      </c>
      <c r="H92" s="2" t="inlineStr">
        <is>
          <t>Peer-reviewed</t>
        </is>
      </c>
      <c r="I92" s="2" t="inlineStr"/>
      <c r="J92" s="2" t="inlineStr">
        <is>
          <t>Not applicable</t>
        </is>
      </c>
      <c r="K92" s="2" t="inlineStr"/>
      <c r="L92" s="2" t="inlineStr"/>
      <c r="M92" s="2" t="inlineStr"/>
      <c r="N92" s="3" t="inlineStr">
        <is>
          <t>None</t>
        </is>
      </c>
      <c r="O92" s="3" t="inlineStr">
        <is>
          <t>Llama-3.2-1B, Qwen2.5-0.5B/1.5B, Gemma-2-2B (28 quantized variants)</t>
        </is>
      </c>
      <c r="P92" s="3" t="inlineStr">
        <is>
          <t>N/A</t>
        </is>
      </c>
      <c r="Q92" s="3" t="inlineStr">
        <is>
          <t>0.49B–2.6B</t>
        </is>
      </c>
      <c r="R92" s="2" t="inlineStr">
        <is>
          <t>Mixed</t>
        </is>
      </c>
      <c r="S92" s="2" t="inlineStr">
        <is>
          <t>Compact; Moderate</t>
        </is>
      </c>
      <c r="T92" s="2" t="inlineStr">
        <is>
          <t>No</t>
        </is>
      </c>
      <c r="U92" s="2" t="inlineStr">
        <is>
          <t>General (techniques / evaluation)</t>
        </is>
      </c>
      <c r="V92" s="3" t="inlineStr">
        <is>
          <t>N/A</t>
        </is>
      </c>
      <c r="W92" s="3" t="inlineStr">
        <is>
          <t>CommonsenseQA, BIG-Bench Hard, TruthfulQA, GSM8K, HumanEval</t>
        </is>
      </c>
      <c r="X92" s="3" t="inlineStr">
        <is>
          <t>energy, latency and accuracy of quantized models</t>
        </is>
      </c>
      <c r="Y92" s="3" t="inlineStr">
        <is>
          <t>Measures energy-latency-accuracy trade-offs of quantized models on edge hardware</t>
        </is>
      </c>
      <c r="Z92" s="2" t="inlineStr">
        <is>
          <t>Norway</t>
        </is>
      </c>
    </row>
    <row r="93">
      <c r="A93" s="2" t="n">
        <v>128</v>
      </c>
      <c r="B93" s="2" t="inlineStr">
        <is>
          <t>cao2026task</t>
        </is>
      </c>
      <c r="C93" s="2" t="inlineStr">
        <is>
          <t>Cao et al.</t>
        </is>
      </c>
      <c r="D93" s="3" t="inlineStr">
        <is>
          <t>Task-Specific Efficiency Analysis: When Small Language Models Outperform Large Language Models</t>
        </is>
      </c>
      <c r="E93" s="2" t="n">
        <v>2026</v>
      </c>
      <c r="F93" s="3" t="inlineStr">
        <is>
          <t>arXiv preprint arXiv:2603.21389</t>
        </is>
      </c>
      <c r="G93" s="4" t="inlineStr">
        <is>
          <t>https://www.esann.org/sites/default/files/proceedings/2026/ES2026-274.pdf</t>
        </is>
      </c>
      <c r="H93" s="2" t="inlineStr">
        <is>
          <t>Peer-reviewed</t>
        </is>
      </c>
      <c r="I93" s="2" t="inlineStr">
        <is>
          <t>Published version: ESANN 2026</t>
        </is>
      </c>
      <c r="J93" s="2" t="inlineStr">
        <is>
          <t>Not applicable</t>
        </is>
      </c>
      <c r="K93" s="2" t="inlineStr"/>
      <c r="L93" s="2" t="inlineStr"/>
      <c r="M93" s="2" t="inlineStr"/>
      <c r="N93" s="3" t="n"/>
      <c r="O93" s="3" t="inlineStr">
        <is>
          <t>GPT-4, LLaMA-3, Qwen-2.5</t>
        </is>
      </c>
      <c r="P93" s="3" t="inlineStr">
        <is>
          <t>N/A</t>
        </is>
      </c>
      <c r="Q93" s="3" t="inlineStr">
        <is>
          <t>0.5B-72B</t>
        </is>
      </c>
      <c r="R93" s="2" t="inlineStr">
        <is>
          <t>Mixed</t>
        </is>
      </c>
      <c r="S93" s="2" t="inlineStr">
        <is>
          <t>Compact; Moderate; Higher</t>
        </is>
      </c>
      <c r="T93" s="2" t="inlineStr">
        <is>
          <t>Yes</t>
        </is>
      </c>
      <c r="U93" s="2" t="inlineStr">
        <is>
          <t>General (techniques / evaluation)</t>
        </is>
      </c>
      <c r="V93" s="3" t="inlineStr">
        <is>
          <t>N/A</t>
        </is>
      </c>
      <c r="W93" s="3" t="inlineStr">
        <is>
          <t>N/A</t>
        </is>
      </c>
      <c r="X93" s="3" t="inlineStr">
        <is>
          <t>NLP tasks</t>
        </is>
      </c>
      <c r="Y93" s="3" t="inlineStr">
        <is>
          <t>A comprehensive task-specific efficiency analysis comparing 16 language models across five diverse NLP tasks using a novel Performance-Efficiency Ratio (PER) metric.</t>
        </is>
      </c>
      <c r="Z93" s="2" t="inlineStr">
        <is>
          <t>United States</t>
        </is>
      </c>
    </row>
    <row r="94">
      <c r="A94" s="2" t="n">
        <v>129</v>
      </c>
      <c r="B94" s="2" t="inlineStr">
        <is>
          <t>mitra2023orca</t>
        </is>
      </c>
      <c r="C94" s="2" t="inlineStr">
        <is>
          <t>Mitra et al.</t>
        </is>
      </c>
      <c r="D94" s="3" t="inlineStr">
        <is>
          <t>Orca 2: Teaching Small Language Models How to Reason</t>
        </is>
      </c>
      <c r="E94" s="2" t="n">
        <v>2023</v>
      </c>
      <c r="F94" s="3" t="inlineStr">
        <is>
          <t>arXiv preprint arXiv:2311.11045</t>
        </is>
      </c>
      <c r="G94" s="4" t="inlineStr">
        <is>
          <t>https://arxiv.org/abs/2311.11045</t>
        </is>
      </c>
      <c r="H94" s="2" t="inlineStr">
        <is>
          <t>Preprint</t>
        </is>
      </c>
      <c r="I94" s="2" t="inlineStr"/>
      <c r="J94" s="2" t="inlineStr">
        <is>
          <t>b (218)</t>
        </is>
      </c>
      <c r="K94" s="2" t="inlineStr"/>
      <c r="L94" s="2" t="inlineStr">
        <is>
          <t>Yes</t>
        </is>
      </c>
      <c r="M94" s="2" t="inlineStr"/>
      <c r="N94" s="3" t="n"/>
      <c r="O94" s="3" t="inlineStr">
        <is>
          <t>LLaMA-2</t>
        </is>
      </c>
      <c r="P94" s="3" t="inlineStr">
        <is>
          <t>Orca-2-7B, Orca-2-13B</t>
        </is>
      </c>
      <c r="Q94" s="3" t="inlineStr">
        <is>
          <t>7B, 13B</t>
        </is>
      </c>
      <c r="R94" s="7" t="inlineStr">
        <is>
          <t>Higher</t>
        </is>
      </c>
      <c r="S94" s="2" t="inlineStr">
        <is>
          <t>Higher</t>
        </is>
      </c>
      <c r="T94" s="2" t="inlineStr">
        <is>
          <t>Yes</t>
        </is>
      </c>
      <c r="U94" s="2" t="inlineStr">
        <is>
          <t>General (techniques / evaluation)</t>
        </is>
      </c>
      <c r="V94" s="3" t="inlineStr">
        <is>
          <t>N/A</t>
        </is>
      </c>
      <c r="W94" s="3" t="inlineStr">
        <is>
          <t>15 diverse benchmarks</t>
        </is>
      </c>
      <c r="X94" s="3" t="inlineStr">
        <is>
          <t>reasoning, language understanding, common sense reasoning, multi-step reasoning, math problem solving</t>
        </is>
      </c>
      <c r="Y94" s="3" t="inlineStr">
        <is>
          <t>Orca 2 enhances reasoning abilities of smaller language models by teaching them various solution strategies.</t>
        </is>
      </c>
      <c r="Z94" s="2" t="inlineStr">
        <is>
          <t>United States</t>
        </is>
      </c>
    </row>
    <row r="95">
      <c r="A95" s="2" t="n">
        <v>130</v>
      </c>
      <c r="B95" s="2" t="inlineStr">
        <is>
          <t>2025distilqwen2</t>
        </is>
      </c>
      <c r="C95" s="2" t="inlineStr">
        <is>
          <t>Wang et al.</t>
        </is>
      </c>
      <c r="D95" s="3" t="inlineStr">
        <is>
          <t>DistilQwen2.5: Industrial Practices of Training Distilled Open Lightweight Language Models</t>
        </is>
      </c>
      <c r="E95" s="2" t="n">
        <v>2025</v>
      </c>
      <c r="F95" s="3" t="inlineStr">
        <is>
          <t>Proceedings of the 63rd Annual Meeting of the Association for Computational Linguistics (Volume 6: Industry Track)</t>
        </is>
      </c>
      <c r="G95" s="4" t="inlineStr">
        <is>
          <t>https://aclanthology.org/2025.acl-industry.4</t>
        </is>
      </c>
      <c r="H95" s="2" t="inlineStr">
        <is>
          <t>Peer-reviewed</t>
        </is>
      </c>
      <c r="I95" s="2" t="inlineStr"/>
      <c r="J95" s="2" t="inlineStr">
        <is>
          <t>Not applicable</t>
        </is>
      </c>
      <c r="K95" s="2" t="inlineStr"/>
      <c r="L95" s="2" t="inlineStr"/>
      <c r="M95" s="2" t="inlineStr"/>
      <c r="N95" s="3" t="n"/>
      <c r="O95" s="3" t="inlineStr">
        <is>
          <t>Qwen2.5</t>
        </is>
      </c>
      <c r="P95" s="3" t="inlineStr">
        <is>
          <t>DistilQwen2.5-0.5B-Instruct, DistilQwen2.5-1.5B-Instruct, DistilQwen2.5-3B-Instruct, DistilQwen2.5-7B-Instruct</t>
        </is>
      </c>
      <c r="Q95" s="3" t="inlineStr">
        <is>
          <t>0.5B, 1.5B, 3B, 7B</t>
        </is>
      </c>
      <c r="R95" s="2" t="inlineStr">
        <is>
          <t>Mixed</t>
        </is>
      </c>
      <c r="S95" s="2" t="inlineStr">
        <is>
          <t>Compact; Moderate; Higher</t>
        </is>
      </c>
      <c r="T95" s="2" t="inlineStr">
        <is>
          <t>Yes</t>
        </is>
      </c>
      <c r="U95" s="2" t="inlineStr">
        <is>
          <t>General (techniques / evaluation)</t>
        </is>
      </c>
      <c r="V95" s="3" t="inlineStr">
        <is>
          <t>DistilQwen 100k</t>
        </is>
      </c>
      <c r="W95" s="3" t="inlineStr">
        <is>
          <t>AlpacaEval 2.0, IFEval</t>
        </is>
      </c>
      <c r="X95" s="3" t="inlineStr">
        <is>
          <t>instruction-following</t>
        </is>
      </c>
      <c r="Y95" s="3" t="inlineStr">
        <is>
          <t>Introduction of DistilQwen2.5, a series of distilled lightweight LLMs with enhanced instruction-following capabilities.</t>
        </is>
      </c>
      <c r="Z95" s="2" t="inlineStr">
        <is>
          <t>China</t>
        </is>
      </c>
    </row>
    <row r="96">
      <c r="A96" s="2" t="n">
        <v>131</v>
      </c>
      <c r="B96" s="2" t="inlineStr">
        <is>
          <t>wangresource</t>
        </is>
      </c>
      <c r="C96" s="2" t="inlineStr">
        <is>
          <t>Wang</t>
        </is>
      </c>
      <c r="D96" s="3" t="inlineStr">
        <is>
          <t>Resource-Efficient Knowledge Distillation for Qwen2. 5-0.5 B-Instruct: A Stable Pipeline Using a 4-bit Quantized 3B Teacher and QLoRA</t>
        </is>
      </c>
      <c r="E96" s="2" t="n">
        <v>2025</v>
      </c>
      <c r="F96" s="3" t="inlineStr">
        <is>
          <t>Preprint (author website)</t>
        </is>
      </c>
      <c r="G96" s="4" t="inlineStr">
        <is>
          <t>https://pics.iamzhaokun.com/doc/report/Resource-Efficient%20Knowledge%20Distillation%20for%20Qwen2.5-0.5B-Instruct.pdf</t>
        </is>
      </c>
      <c r="H96" s="2" t="inlineStr">
        <is>
          <t>Preprint</t>
        </is>
      </c>
      <c r="I96" s="2" t="inlineStr">
        <is>
          <t>personal website</t>
        </is>
      </c>
      <c r="J96" s="2" t="inlineStr">
        <is>
          <t>a (GitHub code)</t>
        </is>
      </c>
      <c r="K96" s="2" t="inlineStr">
        <is>
          <t>Yes</t>
        </is>
      </c>
      <c r="L96" s="2" t="inlineStr"/>
      <c r="M96" s="2" t="inlineStr"/>
      <c r="N96" s="3" t="n"/>
      <c r="O96" s="3" t="inlineStr">
        <is>
          <t>Qwen2.5-3B-Instruct (teacher, 4-bit), Qwen2.5-0.5B-Instruct (student)</t>
        </is>
      </c>
      <c r="P96" s="3" t="inlineStr">
        <is>
          <t>Distilled Qwen2.5-0.5B-Instruct</t>
        </is>
      </c>
      <c r="Q96" s="3" t="inlineStr">
        <is>
          <t>0.5B (student), 3B (teacher)</t>
        </is>
      </c>
      <c r="R96" s="6" t="inlineStr">
        <is>
          <t>Compact</t>
        </is>
      </c>
      <c r="S96" s="2" t="inlineStr">
        <is>
          <t>Compact</t>
        </is>
      </c>
      <c r="T96" s="2" t="inlineStr">
        <is>
          <t>No</t>
        </is>
      </c>
      <c r="U96" s="2" t="inlineStr">
        <is>
          <t>General (techniques / evaluation)</t>
        </is>
      </c>
      <c r="V96" s="3" t="inlineStr">
        <is>
          <t>Not stated in abstract</t>
        </is>
      </c>
      <c r="W96" s="3" t="inlineStr">
        <is>
          <t>Held-out validation set (perplexity)</t>
        </is>
      </c>
      <c r="X96" s="3" t="inlineStr">
        <is>
          <t>Knowledge distillation on consumer hardware</t>
        </is>
      </c>
      <c r="Y96" s="3" t="inlineStr">
        <is>
          <t>Token-averaged KL with QLoRA: student perplexity 5.504 → 4.085, slightly better than the 3B teacher (4.225)</t>
        </is>
      </c>
      <c r="Z96" s="2" t="inlineStr">
        <is>
          <t>Germany</t>
        </is>
      </c>
    </row>
    <row r="97">
      <c r="A97" s="2" t="n">
        <v>132</v>
      </c>
      <c r="B97" s="2" t="inlineStr">
        <is>
          <t>li2025small</t>
        </is>
      </c>
      <c r="C97" s="2" t="inlineStr">
        <is>
          <t>Li et al.</t>
        </is>
      </c>
      <c r="D97" s="3" t="inlineStr">
        <is>
          <t>Small Models Struggle to Learn from Strong Reasoners</t>
        </is>
      </c>
      <c r="E97" s="2" t="n">
        <v>2025</v>
      </c>
      <c r="F97" s="3" t="inlineStr">
        <is>
          <t>Findings of the Association for Computational Linguistics: ACL 2025</t>
        </is>
      </c>
      <c r="G97" s="4" t="inlineStr">
        <is>
          <t>https://aclanthology.org/2025.findings-acl.1301</t>
        </is>
      </c>
      <c r="H97" s="2" t="inlineStr">
        <is>
          <t>Peer-reviewed</t>
        </is>
      </c>
      <c r="I97" s="2" t="inlineStr"/>
      <c r="J97" s="2" t="inlineStr">
        <is>
          <t>Not applicable</t>
        </is>
      </c>
      <c r="K97" s="2" t="inlineStr"/>
      <c r="L97" s="2" t="inlineStr"/>
      <c r="M97" s="2" t="inlineStr"/>
      <c r="N97" s="3" t="n"/>
      <c r="O97" s="3" t="inlineStr">
        <is>
          <t>N/A</t>
        </is>
      </c>
      <c r="P97" s="3" t="inlineStr">
        <is>
          <t>Mix Distillation</t>
        </is>
      </c>
      <c r="Q97" s="3" t="inlineStr">
        <is>
          <t>0.5B–72B (Qwen2.5; small students ≤3B)</t>
        </is>
      </c>
      <c r="R97" s="2" t="inlineStr">
        <is>
          <t>Mixed</t>
        </is>
      </c>
      <c r="S97" s="2" t="inlineStr">
        <is>
          <t>Compact; Moderate</t>
        </is>
      </c>
      <c r="T97" s="2" t="inlineStr">
        <is>
          <t>No</t>
        </is>
      </c>
      <c r="U97" s="2" t="inlineStr">
        <is>
          <t>General (techniques / evaluation)</t>
        </is>
      </c>
      <c r="V97" s="3" t="inlineStr">
        <is>
          <t>N/A</t>
        </is>
      </c>
      <c r="W97" s="3" t="inlineStr">
        <is>
          <t>MATH</t>
        </is>
      </c>
      <c r="X97" s="3" t="inlineStr">
        <is>
          <t>reasoning</t>
        </is>
      </c>
      <c r="Y97" s="3" t="inlineStr">
        <is>
          <t>Yes</t>
        </is>
      </c>
      <c r="Z97" s="2" t="inlineStr">
        <is>
          <t>United States</t>
        </is>
      </c>
    </row>
    <row r="98">
      <c r="A98" s="2" t="n">
        <v>133</v>
      </c>
      <c r="B98" s="2" t="inlineStr">
        <is>
          <t>2025memory</t>
        </is>
      </c>
      <c r="C98" s="2" t="inlineStr">
        <is>
          <t>Song et al.</t>
        </is>
      </c>
      <c r="D98" s="3" t="inlineStr">
        <is>
          <t>Memory-Efficient Backpropagation for Fine-Tuning LLMs on Resource-Constrained Mobile Devices</t>
        </is>
      </c>
      <c r="E98" s="2" t="n">
        <v>2025</v>
      </c>
      <c r="F98" s="3" t="inlineStr">
        <is>
          <t>Proceedings of the 2025 Conference on Empirical Methods in Natural Language Processing: Industry Track</t>
        </is>
      </c>
      <c r="G98" s="4" t="inlineStr">
        <is>
          <t>https://aclanthology.org/2025.emnlp-industry.52</t>
        </is>
      </c>
      <c r="H98" s="2" t="inlineStr">
        <is>
          <t>Peer-reviewed</t>
        </is>
      </c>
      <c r="I98" s="2" t="inlineStr"/>
      <c r="J98" s="2" t="inlineStr">
        <is>
          <t>Not applicable</t>
        </is>
      </c>
      <c r="K98" s="2" t="inlineStr"/>
      <c r="L98" s="2" t="inlineStr"/>
      <c r="M98" s="2" t="inlineStr"/>
      <c r="N98" s="3" t="n"/>
      <c r="O98" s="3" t="inlineStr">
        <is>
          <t>LoRA, MeZO, Gemma3, Qwen2.5</t>
        </is>
      </c>
      <c r="P98" s="3" t="inlineStr">
        <is>
          <t>MeBP</t>
        </is>
      </c>
      <c r="Q98" s="3" t="inlineStr">
        <is>
          <t>0.5B to 4B</t>
        </is>
      </c>
      <c r="R98" s="2" t="inlineStr">
        <is>
          <t>Mixed</t>
        </is>
      </c>
      <c r="S98" s="2" t="inlineStr">
        <is>
          <t>Compact; Moderate</t>
        </is>
      </c>
      <c r="T98" s="2" t="inlineStr">
        <is>
          <t>No</t>
        </is>
      </c>
      <c r="U98" s="2" t="inlineStr">
        <is>
          <t>General (techniques / evaluation)</t>
        </is>
      </c>
      <c r="V98" s="3" t="inlineStr">
        <is>
          <t>N/A</t>
        </is>
      </c>
      <c r="W98" s="3" t="inlineStr">
        <is>
          <t>N/A</t>
        </is>
      </c>
      <c r="X98" s="3" t="inlineStr">
        <is>
          <t>fine-tuning, language modeling</t>
        </is>
      </c>
      <c r="Y98" s="3" t="inlineStr">
        <is>
          <t>We propose a memory-efficient implementation of backpropagation (MeBP) for fine-tuning LLMs on mobile devices that outperforms existing methods in terms of memory usage and convergence speed.</t>
        </is>
      </c>
      <c r="Z98" s="2" t="inlineStr">
        <is>
          <t>United States</t>
        </is>
      </c>
    </row>
    <row r="99">
      <c r="A99" s="2" t="n">
        <v>134</v>
      </c>
      <c r="B99" s="2" t="inlineStr">
        <is>
          <t>allal2025smollm2</t>
        </is>
      </c>
      <c r="C99" s="2" t="inlineStr">
        <is>
          <t>Allal et al.</t>
        </is>
      </c>
      <c r="D99" s="3" t="inlineStr">
        <is>
          <t>SmolLM2: When Smol Goes Big–Data-Centric Training of a Small Language Model</t>
        </is>
      </c>
      <c r="E99" s="2" t="n">
        <v>2025</v>
      </c>
      <c r="F99" s="3" t="inlineStr">
        <is>
          <t>arXiv preprint arXiv:2502.02737</t>
        </is>
      </c>
      <c r="G99" s="4" t="inlineStr">
        <is>
          <t>https://arxiv.org/abs/2502.02737</t>
        </is>
      </c>
      <c r="H99" s="2" t="inlineStr">
        <is>
          <t>Preprint</t>
        </is>
      </c>
      <c r="I99" s="2" t="inlineStr"/>
      <c r="J99" s="2" t="inlineStr">
        <is>
          <t>b (400); c</t>
        </is>
      </c>
      <c r="K99" s="2" t="inlineStr"/>
      <c r="L99" s="2" t="inlineStr">
        <is>
          <t>Yes</t>
        </is>
      </c>
      <c r="M99" s="2" t="inlineStr">
        <is>
          <t>Yes</t>
        </is>
      </c>
      <c r="N99" s="3" t="n"/>
      <c r="O99" s="3" t="inlineStr">
        <is>
          <t>Qwen2.5-1.5B, Llama3.2-1B</t>
        </is>
      </c>
      <c r="P99" s="3" t="inlineStr">
        <is>
          <t>SmolLM2</t>
        </is>
      </c>
      <c r="Q99" s="3" t="inlineStr">
        <is>
          <t>1.7B</t>
        </is>
      </c>
      <c r="R99" s="5" t="inlineStr">
        <is>
          <t>Moderate</t>
        </is>
      </c>
      <c r="S99" s="2" t="inlineStr">
        <is>
          <t>Moderate</t>
        </is>
      </c>
      <c r="T99" s="2" t="inlineStr">
        <is>
          <t>No</t>
        </is>
      </c>
      <c r="U99" s="2" t="inlineStr">
        <is>
          <t>General (techniques / evaluation)</t>
        </is>
      </c>
      <c r="V99" s="3" t="inlineStr">
        <is>
          <t>web text, Fine-Math, Stack-Edu, SmolTalk</t>
        </is>
      </c>
      <c r="W99" s="3" t="inlineStr">
        <is>
          <t>N/A</t>
        </is>
      </c>
      <c r="X99" s="3" t="inlineStr">
        <is>
          <t>N/A</t>
        </is>
      </c>
      <c r="Y99" s="3" t="inlineStr">
        <is>
          <t>Development of SmolLM2, a state-of-the-art small language model trained on a diverse dataset to enhance performance.</t>
        </is>
      </c>
      <c r="Z99" s="2" t="inlineStr">
        <is>
          <t>United States</t>
        </is>
      </c>
    </row>
    <row r="100">
      <c r="A100" s="2" t="n">
        <v>135</v>
      </c>
      <c r="B100" s="2" t="inlineStr">
        <is>
          <t>mitchell2024emulator</t>
        </is>
      </c>
      <c r="C100" s="2" t="inlineStr">
        <is>
          <t>Mitchell et al.</t>
        </is>
      </c>
      <c r="D100" s="3" t="inlineStr">
        <is>
          <t>An Emulator for Fine-Tuning Large Language Models using Small Language Models</t>
        </is>
      </c>
      <c r="E100" s="2" t="n">
        <v>2023</v>
      </c>
      <c r="F100" s="3" t="inlineStr">
        <is>
          <t>arXiv preprint arXiv:2310.12962</t>
        </is>
      </c>
      <c r="G100" s="4" t="inlineStr">
        <is>
          <t>https://openreview.net/forum?id=Eo7kv0sllr</t>
        </is>
      </c>
      <c r="H100" s="2" t="inlineStr">
        <is>
          <t>Peer-reviewed</t>
        </is>
      </c>
      <c r="I100" s="2" t="inlineStr">
        <is>
          <t>Published version: ICLR 2024</t>
        </is>
      </c>
      <c r="J100" s="2" t="inlineStr">
        <is>
          <t>Not applicable</t>
        </is>
      </c>
      <c r="K100" s="2" t="inlineStr"/>
      <c r="L100" s="2" t="inlineStr"/>
      <c r="M100" s="2" t="inlineStr"/>
      <c r="N100" s="3" t="n"/>
      <c r="O100" s="3" t="inlineStr">
        <is>
          <t>Llama, Llama-2, Falcon</t>
        </is>
      </c>
      <c r="P100" s="3" t="inlineStr">
        <is>
          <t>Emulated Fine-Tuning (EFT)</t>
        </is>
      </c>
      <c r="Q100" s="3" t="inlineStr">
        <is>
          <t>7B small model with 70B large model (Llama-2)</t>
        </is>
      </c>
      <c r="R100" s="7" t="inlineStr">
        <is>
          <t>Higher</t>
        </is>
      </c>
      <c r="S100" s="2" t="inlineStr">
        <is>
          <t>Higher</t>
        </is>
      </c>
      <c r="T100" s="2" t="inlineStr">
        <is>
          <t>Yes</t>
        </is>
      </c>
      <c r="U100" s="2" t="inlineStr">
        <is>
          <t>General (techniques / evaluation)</t>
        </is>
      </c>
      <c r="V100" s="3" t="inlineStr">
        <is>
          <t>N/A</t>
        </is>
      </c>
      <c r="W100" s="3" t="inlineStr">
        <is>
          <t>N/A</t>
        </is>
      </c>
      <c r="X100" s="3" t="inlineStr">
        <is>
          <t>instruction following</t>
        </is>
      </c>
      <c r="Y100" s="3" t="inlineStr">
        <is>
          <t>Introduction of emulated fine-tuning (EFT) to combine knowledge from pre-training and fine-tuning at different scales.</t>
        </is>
      </c>
      <c r="Z100" s="2" t="inlineStr">
        <is>
          <t>United States</t>
        </is>
      </c>
    </row>
    <row r="101">
      <c r="A101" s="2" t="n">
        <v>136</v>
      </c>
      <c r="B101" s="2" t="inlineStr">
        <is>
          <t>wang2023s3</t>
        </is>
      </c>
      <c r="C101" s="2" t="inlineStr">
        <is>
          <t>Wang et al.</t>
        </is>
      </c>
      <c r="D101" s="3" t="inlineStr">
        <is>
          <t>Let's Synthesize Step by Step: Iterative Dataset Synthesis with Large Language Models by Extrapolating Errors from Small Models</t>
        </is>
      </c>
      <c r="E101" s="2" t="n">
        <v>2023</v>
      </c>
      <c r="F101" s="3" t="inlineStr">
        <is>
          <t>Findings of the Association for Computational Linguistics: EMNLP 2023</t>
        </is>
      </c>
      <c r="G101" s="4" t="inlineStr">
        <is>
          <t>https://aclanthology.org/2023.findings-emnlp.791</t>
        </is>
      </c>
      <c r="H101" s="2" t="inlineStr">
        <is>
          <t>Peer-reviewed</t>
        </is>
      </c>
      <c r="I101" s="2" t="inlineStr"/>
      <c r="J101" s="2" t="inlineStr">
        <is>
          <t>Not applicable</t>
        </is>
      </c>
      <c r="K101" s="2" t="inlineStr"/>
      <c r="L101" s="2" t="inlineStr"/>
      <c r="M101" s="2" t="inlineStr"/>
      <c r="N101" s="3" t="n"/>
      <c r="O101" s="3" t="inlineStr">
        <is>
          <t>DistilBert</t>
        </is>
      </c>
      <c r="P101" s="3" t="inlineStr">
        <is>
          <t>Synthesis Step by Step (S3)</t>
        </is>
      </c>
      <c r="Q101" s="3" t="inlineStr">
        <is>
          <t>DistilBERT (66M) small model; GPT-3.5 as data generator</t>
        </is>
      </c>
      <c r="R101" s="8" t="inlineStr">
        <is>
          <t>Lightweight</t>
        </is>
      </c>
      <c r="S101" s="2" t="inlineStr">
        <is>
          <t>Lightweight</t>
        </is>
      </c>
      <c r="T101" s="2" t="inlineStr">
        <is>
          <t>No</t>
        </is>
      </c>
      <c r="U101" s="2" t="inlineStr">
        <is>
          <t>General (techniques / evaluation)</t>
        </is>
      </c>
      <c r="V101" s="3" t="inlineStr">
        <is>
          <t>N/A</t>
        </is>
      </c>
      <c r="W101" s="3" t="inlineStr">
        <is>
          <t>IMDb</t>
        </is>
      </c>
      <c r="X101" s="3" t="inlineStr">
        <is>
          <t>data synthesis, NLP tasks</t>
        </is>
      </c>
      <c r="Y101" s="3" t="inlineStr">
        <is>
          <t>Yes</t>
        </is>
      </c>
      <c r="Z101" s="2" t="inlineStr">
        <is>
          <t>China</t>
        </is>
      </c>
    </row>
    <row r="102">
      <c r="A102" s="2" t="n">
        <v>137</v>
      </c>
      <c r="B102" s="2" t="inlineStr">
        <is>
          <t>lee2024can</t>
        </is>
      </c>
      <c r="C102" s="2" t="inlineStr">
        <is>
          <t>Lee et al.</t>
        </is>
      </c>
      <c r="D102" s="3" t="inlineStr">
        <is>
          <t>Can Small Language Models Help Large Language Models Reason Better?: LM-Guided Chain-of-Thought</t>
        </is>
      </c>
      <c r="E102" s="2" t="n">
        <v>2024</v>
      </c>
      <c r="F102" s="3" t="inlineStr">
        <is>
          <t>Proceedings of the 2024 Joint International Conference on Computational Linguistics, Language Resources and Evaluation (LREC-COLING 2024)</t>
        </is>
      </c>
      <c r="G102" s="4" t="inlineStr">
        <is>
          <t>https://aclanthology.org/2024.lrec-main.252</t>
        </is>
      </c>
      <c r="H102" s="2" t="inlineStr">
        <is>
          <t>Peer-reviewed</t>
        </is>
      </c>
      <c r="I102" s="2" t="inlineStr"/>
      <c r="J102" s="2" t="inlineStr">
        <is>
          <t>Not applicable</t>
        </is>
      </c>
      <c r="K102" s="2" t="inlineStr"/>
      <c r="L102" s="2" t="inlineStr"/>
      <c r="M102" s="2" t="inlineStr"/>
      <c r="N102" s="3" t="n"/>
      <c r="O102" s="3" t="inlineStr">
        <is>
          <t>FLAN-T5</t>
        </is>
      </c>
      <c r="P102" s="3" t="inlineStr">
        <is>
          <t>N/A</t>
        </is>
      </c>
      <c r="Q102" s="3" t="inlineStr">
        <is>
          <t>&lt;1B</t>
        </is>
      </c>
      <c r="R102" s="6" t="inlineStr">
        <is>
          <t>Compact</t>
        </is>
      </c>
      <c r="S102" s="2" t="inlineStr">
        <is>
          <t>Compact</t>
        </is>
      </c>
      <c r="T102" s="2" t="inlineStr">
        <is>
          <t>No</t>
        </is>
      </c>
      <c r="U102" s="2" t="inlineStr">
        <is>
          <t>General (techniques / evaluation)</t>
        </is>
      </c>
      <c r="V102" s="3" t="inlineStr">
        <is>
          <t>N/A</t>
        </is>
      </c>
      <c r="W102" s="3" t="inlineStr">
        <is>
          <t>HotpotQA, 2WikiMultiHopQA</t>
        </is>
      </c>
      <c r="X102" s="3" t="inlineStr">
        <is>
          <t>multi-hop extractive question answering</t>
        </is>
      </c>
      <c r="Y102" s="3" t="inlineStr">
        <is>
          <t>Yes</t>
        </is>
      </c>
      <c r="Z102" s="2" t="inlineStr">
        <is>
          <t>United States</t>
        </is>
      </c>
    </row>
    <row r="103">
      <c r="A103" s="2" t="n">
        <v>106</v>
      </c>
      <c r="B103" s="2" t="inlineStr">
        <is>
          <t>ma2026adaptivelog</t>
        </is>
      </c>
      <c r="C103" s="2" t="inlineStr">
        <is>
          <t>Ma et al.</t>
        </is>
      </c>
      <c r="D103" s="3" t="inlineStr">
        <is>
          <t>AdaptiveLog: An Adaptive Log Analysis Framework with the Collaboration of Large and Small Language Model</t>
        </is>
      </c>
      <c r="E103" s="2" t="n">
        <v>2026</v>
      </c>
      <c r="F103" s="3" t="inlineStr">
        <is>
          <t>ACM Transactions on Software Engineering and Methodology</t>
        </is>
      </c>
      <c r="G103" s="4" t="inlineStr">
        <is>
          <t>https://doi.org/10.1145/3749840</t>
        </is>
      </c>
      <c r="H103" s="2" t="inlineStr">
        <is>
          <t>Peer-reviewed</t>
        </is>
      </c>
      <c r="I103" s="2" t="inlineStr"/>
      <c r="J103" s="2" t="inlineStr">
        <is>
          <t>Not applicable</t>
        </is>
      </c>
      <c r="K103" s="2" t="inlineStr"/>
      <c r="L103" s="2" t="inlineStr"/>
      <c r="M103" s="2" t="inlineStr"/>
      <c r="N103" s="3" t="n"/>
      <c r="O103" s="3" t="inlineStr">
        <is>
          <t>BERT, ChatGPT</t>
        </is>
      </c>
      <c r="P103" s="3" t="inlineStr">
        <is>
          <t>AdaptiveLog</t>
        </is>
      </c>
      <c r="Q103" s="3" t="inlineStr">
        <is>
          <t>BERT-based SLM (~110M) with ChatGPT (gpt-3.5-turbo) as LLM</t>
        </is>
      </c>
      <c r="R103" s="6" t="inlineStr">
        <is>
          <t>Compact</t>
        </is>
      </c>
      <c r="S103" s="2" t="inlineStr">
        <is>
          <t>Compact</t>
        </is>
      </c>
      <c r="T103" s="2" t="inlineStr">
        <is>
          <t>No</t>
        </is>
      </c>
      <c r="U103" s="2" t="inlineStr">
        <is>
          <t>Coding &amp; Software Eng.</t>
        </is>
      </c>
      <c r="V103" s="3" t="inlineStr">
        <is>
          <t>N/A</t>
        </is>
      </c>
      <c r="W103" s="3" t="inlineStr">
        <is>
          <t>N/A</t>
        </is>
      </c>
      <c r="X103" s="3" t="inlineStr">
        <is>
          <t>log analysis</t>
        </is>
      </c>
      <c r="Y103" s="3" t="inlineStr">
        <is>
          <t>Yes</t>
        </is>
      </c>
      <c r="Z103" s="2" t="inlineStr">
        <is>
          <t>China</t>
        </is>
      </c>
    </row>
  </sheetData>
  <autoFilter ref="A1:Z10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50" customWidth="1" min="4" max="4"/>
    <col width="6" customWidth="1" min="5" max="5"/>
    <col width="30" customWidth="1" min="6" max="6"/>
    <col width="28" customWidth="1" min="7" max="7"/>
    <col width="34" customWidth="1" min="8" max="8"/>
    <col width="50" customWidth="1" min="9" max="9"/>
  </cols>
  <sheetData>
    <row r="1">
      <c r="A1" s="1" t="inlineStr">
        <is>
          <t>Ref. no.</t>
        </is>
      </c>
      <c r="B1" s="1" t="inlineStr">
        <is>
          <t>Citation key</t>
        </is>
      </c>
      <c r="C1" s="1" t="inlineStr">
        <is>
          <t>First author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Venue</t>
        </is>
      </c>
      <c r="G1" s="1" t="inlineStr">
        <is>
          <t>Link</t>
        </is>
      </c>
      <c r="H1" s="1" t="inlineStr">
        <is>
          <t>Reason (PRISMA category)</t>
        </is>
      </c>
      <c r="I1" s="1" t="inlineStr">
        <is>
          <t>Detail</t>
        </is>
      </c>
    </row>
    <row r="2">
      <c r="A2" s="2" t="n">
        <v>31</v>
      </c>
      <c r="B2" s="2" t="inlineStr">
        <is>
          <t>hong2025nano</t>
        </is>
      </c>
      <c r="C2" s="2" t="inlineStr">
        <is>
          <t>Hong et al.</t>
        </is>
      </c>
      <c r="D2" s="3" t="inlineStr">
        <is>
          <t>Nano Bio-Agents (NBA): Small Language Model Agents for Genomics</t>
        </is>
      </c>
      <c r="E2" s="2" t="inlineStr">
        <is>
          <t>2025</t>
        </is>
      </c>
      <c r="F2" s="3" t="inlineStr">
        <is>
          <t>arXiv preprint arXiv:2509.19566</t>
        </is>
      </c>
      <c r="G2" s="4" t="inlineStr">
        <is>
          <t>https://arxiv.org/abs/2509.19566</t>
        </is>
      </c>
      <c r="H2" s="2" t="inlineStr">
        <is>
          <t>Preprint meeting none of the three criteria</t>
        </is>
      </c>
      <c r="I2" s="3" t="inlineStr">
        <is>
          <t>Preprint meeting none of the three criteria</t>
        </is>
      </c>
    </row>
    <row r="3">
      <c r="A3" s="2" t="n">
        <v>35</v>
      </c>
      <c r="B3" s="2" t="inlineStr">
        <is>
          <t>nemo4paypal</t>
        </is>
      </c>
      <c r="C3" s="2" t="inlineStr">
        <is>
          <t>Garg et al.</t>
        </is>
      </c>
      <c r="D3" s="3" t="inlineStr">
        <is>
          <t>NEMO-4-PAYPAL: Leveraging NVIDIA's Nemo Framework for empowering PayPal's Commerce Agent</t>
        </is>
      </c>
      <c r="E3" s="2" t="inlineStr">
        <is>
          <t>2026</t>
        </is>
      </c>
      <c r="F3" s="3" t="inlineStr">
        <is>
          <t>arXiv preprint arXiv:2512.21578</t>
        </is>
      </c>
      <c r="G3" s="4" t="inlineStr">
        <is>
          <t>https://arxiv.org/abs/2512.21578</t>
        </is>
      </c>
      <c r="H3" s="2" t="inlineStr">
        <is>
          <t>Preprint meeting none of the three criteria</t>
        </is>
      </c>
      <c r="I3" s="3" t="inlineStr">
        <is>
          <t>Preprint meeting none of the three criteria</t>
        </is>
      </c>
    </row>
    <row r="4">
      <c r="A4" s="2" t="n">
        <v>49</v>
      </c>
      <c r="B4" s="2" t="inlineStr">
        <is>
          <t>tinymlarduino</t>
        </is>
      </c>
      <c r="C4" s="2" t="inlineStr">
        <is>
          <t>V. et al.</t>
        </is>
      </c>
      <c r="D4" s="3" t="inlineStr">
        <is>
          <t>Implementation Of Tiny Machine Learning Models On Arduino 33 BLE For Gesture And Speech Recognition</t>
        </is>
      </c>
      <c r="E4" s="2" t="inlineStr">
        <is>
          <t>2022</t>
        </is>
      </c>
      <c r="F4" s="3" t="inlineStr">
        <is>
          <t>arXiv preprint arXiv:2207.12866</t>
        </is>
      </c>
      <c r="G4" s="4" t="inlineStr">
        <is>
          <t>https://arxiv.org/abs/2207.12866</t>
        </is>
      </c>
      <c r="H4" s="2" t="inlineStr">
        <is>
          <t>Not an SLM study</t>
        </is>
      </c>
      <c r="I4" s="3" t="inlineStr">
        <is>
          <t>Not a language model (CNN on a microcontroller)</t>
        </is>
      </c>
    </row>
    <row r="5">
      <c r="A5" s="2" t="n">
        <v>85</v>
      </c>
      <c r="B5" s="2" t="inlineStr">
        <is>
          <t>pandey2026</t>
        </is>
      </c>
      <c r="C5" s="2" t="inlineStr">
        <is>
          <t>Pandey et al.</t>
        </is>
      </c>
      <c r="D5" s="3" t="inlineStr">
        <is>
          <t>Can Small Language Models Use What They Retrieve? An Empirical Study of Retrieval Utilization Across Model Scale</t>
        </is>
      </c>
      <c r="E5" s="2" t="inlineStr">
        <is>
          <t>2026</t>
        </is>
      </c>
      <c r="F5" s="3" t="inlineStr">
        <is>
          <t>arXiv preprint arXiv:2603.11513</t>
        </is>
      </c>
      <c r="G5" s="4" t="inlineStr">
        <is>
          <t>https://arxiv.org/abs/2603.11513</t>
        </is>
      </c>
      <c r="H5" s="2" t="inlineStr">
        <is>
          <t>Preprint meeting none of the three criteria</t>
        </is>
      </c>
      <c r="I5" s="3" t="inlineStr">
        <is>
          <t>Preprint meeting none of the three criteria</t>
        </is>
      </c>
    </row>
    <row r="6">
      <c r="A6" s="2" t="n">
        <v>94</v>
      </c>
      <c r="B6" s="2" t="inlineStr">
        <is>
          <t>neuberger</t>
        </is>
      </c>
      <c r="C6" s="2" t="inlineStr">
        <is>
          <t>Neuberger et al.</t>
        </is>
      </c>
      <c r="D6" s="3" t="inlineStr">
        <is>
          <t>Enabling Small Language Models for Text-to-Process Extraction: Balancing Accuracy and Efficiency through Distant Supervision</t>
        </is>
      </c>
      <c r="E6" s="2" t="inlineStr">
        <is>
          <t>2026</t>
        </is>
      </c>
      <c r="F6" s="3" t="inlineStr">
        <is>
          <t>arXiv preprint</t>
        </is>
      </c>
      <c r="G6" s="4" t="inlineStr">
        <is>
          <t>https://doi.org/10.1007/978-3-032-28117-3_9</t>
        </is>
      </c>
      <c r="H6" s="2" t="inlineStr">
        <is>
          <t>Outside publication window</t>
        </is>
      </c>
      <c r="I6" s="3" t="inlineStr">
        <is>
          <t>Published after 30 April 2026 (CAiSE 2026, June 2026</t>
        </is>
      </c>
    </row>
    <row r="7">
      <c r="A7" s="2" t="n">
        <v>95</v>
      </c>
      <c r="B7" s="2" t="inlineStr">
        <is>
          <t>yasuno</t>
        </is>
      </c>
      <c r="C7" s="2" t="inlineStr">
        <is>
          <t>Yasuno et al.</t>
        </is>
      </c>
      <c r="D7" s="3" t="inlineStr">
        <is>
          <t>Adapting Methods for Domain-Specific Japanese Small LMs: Scale, Architecture, and Quantization</t>
        </is>
      </c>
      <c r="E7" s="2" t="inlineStr">
        <is>
          <t>2026</t>
        </is>
      </c>
      <c r="F7" s="3" t="inlineStr">
        <is>
          <t>arXiv preprint arXiv:2603.18037</t>
        </is>
      </c>
      <c r="G7" s="4" t="inlineStr">
        <is>
          <t>https://arxiv.org/abs/2603.18037</t>
        </is>
      </c>
      <c r="H7" s="2" t="inlineStr">
        <is>
          <t>Preprint meeting none of the three criteria</t>
        </is>
      </c>
      <c r="I7" s="3" t="inlineStr">
        <is>
          <t>Preprint meeting none of the three criteria</t>
        </is>
      </c>
    </row>
    <row r="8">
      <c r="A8" s="2" t="n">
        <v>96</v>
      </c>
      <c r="B8" s="2" t="inlineStr">
        <is>
          <t>plottwist</t>
        </is>
      </c>
      <c r="C8" s="2" t="inlineStr">
        <is>
          <t>Thorat et al.</t>
        </is>
      </c>
      <c r="D8" s="3" t="inlineStr">
        <is>
          <t>PlotTwist: A Creative Plot Generation Framework with Small Language Models</t>
        </is>
      </c>
      <c r="E8" s="2" t="inlineStr">
        <is>
          <t>2026</t>
        </is>
      </c>
      <c r="F8" s="3" t="inlineStr">
        <is>
          <t>arXiv preprint arXiv:2603.16410</t>
        </is>
      </c>
      <c r="G8" s="4" t="inlineStr">
        <is>
          <t>https://arxiv.org/abs/2603.16410</t>
        </is>
      </c>
      <c r="H8" s="2" t="inlineStr">
        <is>
          <t>Preprint meeting none of the three criteria</t>
        </is>
      </c>
      <c r="I8" s="3" t="inlineStr">
        <is>
          <t>Preprint meeting none of the three criteria</t>
        </is>
      </c>
    </row>
    <row r="9">
      <c r="A9" s="2" t="n">
        <v>141</v>
      </c>
      <c r="B9" s="2" t="inlineStr">
        <is>
          <t>dogra2021analyzing</t>
        </is>
      </c>
      <c r="C9" s="2" t="inlineStr">
        <is>
          <t>Dogra et al.</t>
        </is>
      </c>
      <c r="D9" s="3" t="inlineStr">
        <is>
          <t>Analyzing DistilBERT for Sentiment Classification of Banking Financial News</t>
        </is>
      </c>
      <c r="E9" s="2" t="inlineStr">
        <is>
          <t>2021</t>
        </is>
      </c>
      <c r="F9" s="3" t="inlineStr">
        <is>
          <t>Intelligent Computing and Innovation on Data Science: Proceedings of ICTIDS 2021</t>
        </is>
      </c>
      <c r="G9" s="4" t="inlineStr">
        <is>
          <t>https://doi.org/10.1007/978-981-16-3153-5_53</t>
        </is>
      </c>
      <c r="H9" s="2" t="inlineStr">
        <is>
          <t>Outside publication window</t>
        </is>
      </c>
      <c r="I9" s="3" t="inlineStr">
        <is>
          <t>Published before 1 January 2022 (outside publication window)</t>
        </is>
      </c>
    </row>
    <row r="10">
      <c r="A10" s="2" t="n">
        <v>146</v>
      </c>
      <c r="B10" s="2" t="inlineStr">
        <is>
          <t>wu2026tool</t>
        </is>
      </c>
      <c r="C10" s="2" t="inlineStr">
        <is>
          <t>Wu et al.</t>
        </is>
      </c>
      <c r="D10" s="3" t="inlineStr">
        <is>
          <t>Tool Calling is Linearly Readable and Steerable in Language Models</t>
        </is>
      </c>
      <c r="E10" s="2" t="inlineStr">
        <is>
          <t>2026</t>
        </is>
      </c>
      <c r="F10" s="3" t="inlineStr">
        <is>
          <t>arXiv preprint arXiv:2605.07990</t>
        </is>
      </c>
      <c r="G10" s="4" t="inlineStr">
        <is>
          <t>https://arxiv.org/abs/2605.07990</t>
        </is>
      </c>
      <c r="H10" s="2" t="inlineStr">
        <is>
          <t>Outside publication window</t>
        </is>
      </c>
      <c r="I10" s="3" t="inlineStr">
        <is>
          <t>Posted after the 30 Apr 2026 cutoff</t>
        </is>
      </c>
    </row>
    <row r="11">
      <c r="A11" s="2" t="n">
        <v>150</v>
      </c>
      <c r="B11" s="2" t="inlineStr">
        <is>
          <t>banar2021generating</t>
        </is>
      </c>
      <c r="C11" s="2" t="inlineStr">
        <is>
          <t>Banar et al.</t>
        </is>
      </c>
      <c r="D11" s="3" t="inlineStr">
        <is>
          <t>Generating Music with Extreme Passages using GPT-2</t>
        </is>
      </c>
      <c r="E11" s="2" t="inlineStr">
        <is>
          <t>2021</t>
        </is>
      </c>
      <c r="F11" s="3" t="inlineStr">
        <is>
          <t>Evo* 2021</t>
        </is>
      </c>
      <c r="G11" s="4" t="inlineStr">
        <is>
          <t>https://arxiv.org/abs/2106.11804</t>
        </is>
      </c>
      <c r="H11" s="2" t="inlineStr">
        <is>
          <t>Outside publication window</t>
        </is>
      </c>
      <c r="I11" s="3" t="inlineStr">
        <is>
          <t>Published before 1 January 2022 (outside publication window)</t>
        </is>
      </c>
    </row>
    <row r="12">
      <c r="A12" s="2" t="n">
        <v>154</v>
      </c>
      <c r="B12" s="2" t="inlineStr">
        <is>
          <t>manik2025chatgpt</t>
        </is>
      </c>
      <c r="C12" s="2" t="inlineStr">
        <is>
          <t>Manik</t>
        </is>
      </c>
      <c r="D12" s="3" t="inlineStr">
        <is>
          <t>ChatGPT vs. DeepSeek: A Comparative Study on AI-Based Code Generation</t>
        </is>
      </c>
      <c r="E12" s="2" t="inlineStr">
        <is>
          <t>2025</t>
        </is>
      </c>
      <c r="F12" s="3" t="inlineStr">
        <is>
          <t>arXiv preprint arXiv:2502.18467</t>
        </is>
      </c>
      <c r="G12" s="4" t="inlineStr">
        <is>
          <t>https://arxiv.org/abs/2502.18467</t>
        </is>
      </c>
      <c r="H12" s="2" t="inlineStr">
        <is>
          <t>Not an SLM study</t>
        </is>
      </c>
      <c r="I12" s="3" t="inlineStr">
        <is>
          <t>No SLM studied (compares large LLMs)</t>
        </is>
      </c>
    </row>
    <row r="13">
      <c r="A13" s="2" t="n">
        <v>155</v>
      </c>
      <c r="B13" s="2" t="inlineStr">
        <is>
          <t>abdalla2026deepseek</t>
        </is>
      </c>
      <c r="C13" s="2" t="inlineStr">
        <is>
          <t>Abdalla</t>
        </is>
      </c>
      <c r="D13" s="3" t="inlineStr">
        <is>
          <t>DeepSeek vs. ChatGPT: Which Performs Better in Python Coding?</t>
        </is>
      </c>
      <c r="E13" s="2" t="inlineStr">
        <is>
          <t>2026</t>
        </is>
      </c>
      <c r="F13" s="3" t="inlineStr">
        <is>
          <t>Journal of Information Technology Management</t>
        </is>
      </c>
      <c r="G13" s="4" t="inlineStr">
        <is>
          <t>https://jitm.ut.ac.ir/article_107165.html</t>
        </is>
      </c>
      <c r="H13" s="2" t="inlineStr">
        <is>
          <t>Not an SLM study</t>
        </is>
      </c>
      <c r="I13" s="3" t="inlineStr">
        <is>
          <t>No SLM studied (compares large LLMs)</t>
        </is>
      </c>
    </row>
    <row r="14">
      <c r="A14" s="2" t="n">
        <v>157</v>
      </c>
      <c r="B14" s="2" t="inlineStr">
        <is>
          <t>hao2026self</t>
        </is>
      </c>
      <c r="C14" s="2" t="inlineStr">
        <is>
          <t>Hao et al.</t>
        </is>
      </c>
      <c r="D14" s="3" t="inlineStr">
        <is>
          <t>Self-Evolving Multi-Agent Systems via Decentralized Memory</t>
        </is>
      </c>
      <c r="E14" s="2" t="inlineStr">
        <is>
          <t>2026</t>
        </is>
      </c>
      <c r="F14" s="3" t="inlineStr">
        <is>
          <t>arXiv preprint arXiv:2605.22721</t>
        </is>
      </c>
      <c r="G14" s="4" t="inlineStr">
        <is>
          <t>https://arxiv.org/abs/2605.22721</t>
        </is>
      </c>
      <c r="H14" s="2" t="inlineStr">
        <is>
          <t>Outside publication window</t>
        </is>
      </c>
      <c r="I14" s="3" t="inlineStr">
        <is>
          <t>Posted after the 30 Apr 2026 cutoff</t>
        </is>
      </c>
    </row>
    <row r="15">
      <c r="A15" s="2" t="n">
        <v>162</v>
      </c>
      <c r="B15" s="2" t="inlineStr">
        <is>
          <t>zhang2025method</t>
        </is>
      </c>
      <c r="C15" s="2" t="inlineStr">
        <is>
          <t>Zhang et al.</t>
        </is>
      </c>
      <c r="D15" s="3" t="inlineStr">
        <is>
          <t>A Method for the Architecture of a Medical Vertical Large Language Model Based on DeepSeek R1</t>
        </is>
      </c>
      <c r="E15" s="2" t="inlineStr">
        <is>
          <t>2025</t>
        </is>
      </c>
      <c r="F15" s="3" t="inlineStr">
        <is>
          <t>arXiv preprint arXiv:2505.00025</t>
        </is>
      </c>
      <c r="G15" s="4" t="inlineStr">
        <is>
          <t>https://arxiv.org/abs/2505.00025</t>
        </is>
      </c>
      <c r="H15" s="2" t="inlineStr">
        <is>
          <t>Preprint meeting none of the three criteria</t>
        </is>
      </c>
      <c r="I15" s="3" t="inlineStr">
        <is>
          <t>Preprint meeting none of the three criteria</t>
        </is>
      </c>
    </row>
    <row r="16">
      <c r="A16" s="2" t="n">
        <v>163</v>
      </c>
      <c r="B16" s="2" t="inlineStr">
        <is>
          <t>evstafev2025token</t>
        </is>
      </c>
      <c r="C16" s="2" t="inlineStr">
        <is>
          <t>Evstafev</t>
        </is>
      </c>
      <c r="D16" s="3" t="inlineStr">
        <is>
          <t>Token-Hungry, Yet Precise: DeepSeek R1 Highlights the Need for Multi-Step Reasoning Over Speed in MATH</t>
        </is>
      </c>
      <c r="E16" s="2" t="inlineStr">
        <is>
          <t>2025</t>
        </is>
      </c>
      <c r="F16" s="3" t="inlineStr">
        <is>
          <t>arXiv preprint arXiv:2501.18576</t>
        </is>
      </c>
      <c r="G16" s="4" t="inlineStr">
        <is>
          <t>https://arxiv.org/abs/2501.18576</t>
        </is>
      </c>
      <c r="H16" s="2" t="inlineStr">
        <is>
          <t>Not an SLM study</t>
        </is>
      </c>
      <c r="I16" s="3" t="inlineStr">
        <is>
          <t>Main model not an SLM</t>
        </is>
      </c>
    </row>
    <row r="17">
      <c r="A17" s="2" t="n">
        <v>164</v>
      </c>
      <c r="B17" s="2" t="inlineStr">
        <is>
          <t>rimal2026benchmarking</t>
        </is>
      </c>
      <c r="C17" s="2" t="inlineStr">
        <is>
          <t>Rimal et al.</t>
        </is>
      </c>
      <c r="D17" s="3" t="inlineStr">
        <is>
          <t>Benchmarking Linguistic Adaptation in Comparable-Sized LLMs: A Study of Llama-3.1-8B, Mistral-7B-v0. 1, and Qwen3-8B on Romanized Nepali</t>
        </is>
      </c>
      <c r="E17" s="2" t="inlineStr">
        <is>
          <t>2026</t>
        </is>
      </c>
      <c r="F17" s="3" t="inlineStr">
        <is>
          <t>arXiv preprint arXiv:2604.14171</t>
        </is>
      </c>
      <c r="G17" s="4" t="inlineStr">
        <is>
          <t>https://arxiv.org/abs/2604.14171</t>
        </is>
      </c>
      <c r="H17" s="2" t="inlineStr">
        <is>
          <t>Preprint meeting none of the three criteria</t>
        </is>
      </c>
      <c r="I17" s="3" t="inlineStr">
        <is>
          <t>Preprint meeting none of the three criteria</t>
        </is>
      </c>
    </row>
    <row r="18">
      <c r="A18" s="2" t="n">
        <v>165</v>
      </c>
      <c r="B18" s="2" t="inlineStr">
        <is>
          <t>samo2024fine</t>
        </is>
      </c>
      <c r="C18" s="2" t="inlineStr">
        <is>
          <t>Samo et al.</t>
        </is>
      </c>
      <c r="D18" s="3" t="inlineStr">
        <is>
          <t>Fine-Tuning Mistral 7B Large Language Model for Python Query Response and Code Generation: A Parameter Efficient Approach</t>
        </is>
      </c>
      <c r="E18" s="2" t="inlineStr">
        <is>
          <t>2024</t>
        </is>
      </c>
      <c r="F18" s="3" t="inlineStr">
        <is>
          <t>VAWKUM Transactions on Computer Sciences</t>
        </is>
      </c>
      <c r="G18" s="4" t="inlineStr">
        <is>
          <t>https://vfast.org/journals/index.php/VTCS/article/view/1885</t>
        </is>
      </c>
      <c r="H18" s="2" t="inlineStr">
        <is>
          <t>Venue not indexed</t>
        </is>
      </c>
      <c r="I18" s="3" t="inlineStr">
        <is>
          <t>Journal not indexed in Scopus, Web of Science, PubMed or DBLP (inclusion criterion 4)</t>
        </is>
      </c>
    </row>
    <row r="19">
      <c r="A19" s="2" t="n">
        <v>175</v>
      </c>
      <c r="B19" s="2" t="inlineStr">
        <is>
          <t>liang2024stacking</t>
        </is>
      </c>
      <c r="C19" s="2" t="inlineStr">
        <is>
          <t>Liang</t>
        </is>
      </c>
      <c r="D19" s="3" t="inlineStr">
        <is>
          <t>Stacking Small Language Models for Generalizability</t>
        </is>
      </c>
      <c r="E19" s="2" t="inlineStr">
        <is>
          <t>2024</t>
        </is>
      </c>
      <c r="F19" s="3" t="inlineStr">
        <is>
          <t>arXiv preprint arXiv:2410.15570</t>
        </is>
      </c>
      <c r="G19" s="4" t="inlineStr">
        <is>
          <t>https://arxiv.org/abs/2410.15570</t>
        </is>
      </c>
      <c r="H19" s="2" t="inlineStr">
        <is>
          <t>Preprint meeting none of the three criteria</t>
        </is>
      </c>
      <c r="I19" s="3" t="inlineStr">
        <is>
          <t>Preprint meeting none of the three criteria</t>
        </is>
      </c>
    </row>
  </sheetData>
  <autoFilter ref="A1:I1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</cols>
  <sheetData>
    <row r="1">
      <c r="A1" s="9" t="inlineStr">
        <is>
          <t>PRISMA 2020 flow diagram counts</t>
        </is>
      </c>
    </row>
    <row r="2">
      <c r="A2" s="10" t="inlineStr">
        <is>
          <t>Blue cells are computed from the study sheets; others are records from the search and screening log.</t>
        </is>
      </c>
    </row>
    <row r="4">
      <c r="A4" s="1" t="inlineStr">
        <is>
          <t>Stage</t>
        </is>
      </c>
      <c r="B4" s="1" t="inlineStr">
        <is>
          <t>Box</t>
        </is>
      </c>
      <c r="C4" s="1" t="inlineStr">
        <is>
          <t>n</t>
        </is>
      </c>
    </row>
    <row r="5">
      <c r="A5" s="11" t="inlineStr">
        <is>
          <t>Identification</t>
        </is>
      </c>
      <c r="B5" s="11" t="inlineStr">
        <is>
          <t>Records identified: Google Scholar</t>
        </is>
      </c>
      <c r="C5" s="11" t="n">
        <v>481</v>
      </c>
    </row>
    <row r="6">
      <c r="A6" s="11" t="inlineStr">
        <is>
          <t>Identification</t>
        </is>
      </c>
      <c r="B6" s="11" t="inlineStr">
        <is>
          <t>Records identified: Semantic Scholar</t>
        </is>
      </c>
      <c r="C6" s="11" t="n">
        <v>465</v>
      </c>
    </row>
    <row r="7">
      <c r="A7" s="11" t="inlineStr">
        <is>
          <t>Identification</t>
        </is>
      </c>
      <c r="B7" s="11" t="inlineStr">
        <is>
          <t>Records identified: arXiv</t>
        </is>
      </c>
      <c r="C7" s="11" t="n">
        <v>210</v>
      </c>
    </row>
    <row r="8">
      <c r="A8" s="11" t="inlineStr">
        <is>
          <t>Identification</t>
        </is>
      </c>
      <c r="B8" s="11" t="inlineStr">
        <is>
          <t>Records identified: ACL Anthology</t>
        </is>
      </c>
      <c r="C8" s="11" t="n">
        <v>80</v>
      </c>
    </row>
    <row r="9">
      <c r="A9" s="11" t="inlineStr">
        <is>
          <t>Identification</t>
        </is>
      </c>
      <c r="B9" s="11" t="inlineStr">
        <is>
          <t>Records identified: ACM Digital Library</t>
        </is>
      </c>
      <c r="C9" s="11" t="n">
        <v>17</v>
      </c>
    </row>
    <row r="10">
      <c r="A10" s="11" t="inlineStr">
        <is>
          <t>Identification</t>
        </is>
      </c>
      <c r="B10" s="11" t="inlineStr">
        <is>
          <t>Records identified: IEEE Xplore</t>
        </is>
      </c>
      <c r="C10" s="11" t="n">
        <v>14</v>
      </c>
    </row>
    <row r="11">
      <c r="A11" s="11" t="inlineStr">
        <is>
          <t>Identification</t>
        </is>
      </c>
      <c r="B11" s="12" t="inlineStr">
        <is>
          <t>Records identified (total)</t>
        </is>
      </c>
      <c r="C11" s="13">
        <f>SUM(C5:C10)</f>
        <v/>
      </c>
    </row>
    <row r="12">
      <c r="A12" s="11" t="inlineStr">
        <is>
          <t>Identification</t>
        </is>
      </c>
      <c r="B12" s="11" t="inlineStr">
        <is>
          <t>Duplicates removed</t>
        </is>
      </c>
      <c r="C12" s="11" t="n">
        <v>172</v>
      </c>
    </row>
    <row r="13">
      <c r="A13" s="11" t="inlineStr">
        <is>
          <t>Identification</t>
        </is>
      </c>
      <c r="B13" s="11" t="inlineStr">
        <is>
          <t>Records removed for other reasons</t>
        </is>
      </c>
      <c r="C13" s="11" t="n">
        <v>40</v>
      </c>
    </row>
    <row r="14">
      <c r="A14" s="11" t="inlineStr">
        <is>
          <t>Screening</t>
        </is>
      </c>
      <c r="B14" s="12" t="inlineStr">
        <is>
          <t>Records screened</t>
        </is>
      </c>
      <c r="C14" s="13">
        <f>C11-C12-C13</f>
        <v/>
      </c>
    </row>
    <row r="15">
      <c r="A15" s="11" t="inlineStr">
        <is>
          <t>Screening</t>
        </is>
      </c>
      <c r="B15" s="11" t="inlineStr">
        <is>
          <t>Records excluded</t>
        </is>
      </c>
      <c r="C15" s="11" t="n">
        <v>920</v>
      </c>
    </row>
    <row r="16">
      <c r="A16" s="11" t="inlineStr">
        <is>
          <t>Screening</t>
        </is>
      </c>
      <c r="B16" s="11" t="inlineStr">
        <is>
          <t>Reports sought for retrieval</t>
        </is>
      </c>
      <c r="C16" s="14">
        <f>C14-C15</f>
        <v/>
      </c>
    </row>
    <row r="17">
      <c r="A17" s="11" t="inlineStr">
        <is>
          <t>Screening</t>
        </is>
      </c>
      <c r="B17" s="11" t="inlineStr">
        <is>
          <t>Reports not retrieved</t>
        </is>
      </c>
      <c r="C17" s="11" t="n">
        <v>15</v>
      </c>
    </row>
    <row r="18">
      <c r="A18" s="11" t="inlineStr">
        <is>
          <t>Eligibility</t>
        </is>
      </c>
      <c r="B18" s="12" t="inlineStr">
        <is>
          <t>Reports assessed for eligibility</t>
        </is>
      </c>
      <c r="C18" s="13">
        <f>C16-C17</f>
        <v/>
      </c>
    </row>
    <row r="19">
      <c r="A19" s="11" t="inlineStr">
        <is>
          <t>Eligibility</t>
        </is>
      </c>
      <c r="B19" s="11" t="inlineStr">
        <is>
          <t>Excluded: Not an SLM study</t>
        </is>
      </c>
      <c r="C19" s="14">
        <f>COUNTIF(Excluded_18!H2:H19,"Not an SLM study")</f>
        <v/>
      </c>
    </row>
    <row r="20">
      <c r="A20" s="11" t="inlineStr">
        <is>
          <t>Eligibility</t>
        </is>
      </c>
      <c r="B20" s="11" t="inlineStr">
        <is>
          <t>Excluded: Preprint meeting none of the three criteria</t>
        </is>
      </c>
      <c r="C20" s="14">
        <f>COUNTIF(Excluded_18!H2:H19,"Preprint*")</f>
        <v/>
      </c>
    </row>
    <row r="21">
      <c r="A21" s="11" t="inlineStr">
        <is>
          <t>Eligibility</t>
        </is>
      </c>
      <c r="B21" s="11" t="inlineStr">
        <is>
          <t>Excluded: Outside publication window</t>
        </is>
      </c>
      <c r="C21" s="14">
        <f>COUNTIF(Excluded_18!H2:H19,"Outside*")</f>
        <v/>
      </c>
    </row>
    <row r="22">
      <c r="A22" s="11" t="inlineStr">
        <is>
          <t>Eligibility</t>
        </is>
      </c>
      <c r="B22" s="11" t="inlineStr">
        <is>
          <t>Excluded: Venue not indexed</t>
        </is>
      </c>
      <c r="C22" s="14">
        <f>COUNTIF(Excluded_18!H2:H19,"Venue*")</f>
        <v/>
      </c>
    </row>
    <row r="23">
      <c r="A23" s="11" t="inlineStr">
        <is>
          <t>Eligibility</t>
        </is>
      </c>
      <c r="B23" s="12" t="inlineStr">
        <is>
          <t>Reports excluded (total)</t>
        </is>
      </c>
      <c r="C23" s="13">
        <f>SUM(C19:C22)</f>
        <v/>
      </c>
    </row>
    <row r="24">
      <c r="A24" s="11" t="inlineStr">
        <is>
          <t>Included</t>
        </is>
      </c>
      <c r="B24" s="12" t="inlineStr">
        <is>
          <t>Studies included in review</t>
        </is>
      </c>
      <c r="C24" s="13">
        <f>COUNTA(Included_102!A2:A103)</f>
        <v/>
      </c>
    </row>
    <row r="25">
      <c r="A25" s="11" t="inlineStr">
        <is>
          <t>Check</t>
        </is>
      </c>
      <c r="B25" s="11" t="inlineStr">
        <is>
          <t>Assessed − excluded = included</t>
        </is>
      </c>
      <c r="C25" s="14">
        <f>IF(C18-C23=C24,"✓ consistent","✗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Summary of the 102 included studies</t>
        </is>
      </c>
    </row>
    <row r="2">
      <c r="A2" s="10" t="inlineStr">
        <is>
          <t>Every count below is a live formula over Included_102; filter Included_102 to see the studies behind any number.</t>
        </is>
      </c>
    </row>
    <row r="4">
      <c r="A4" s="15" t="inlineStr">
        <is>
          <t>Publication year (Figure 1)</t>
        </is>
      </c>
    </row>
    <row r="5">
      <c r="A5" s="16" t="inlineStr">
        <is>
          <t>Category</t>
        </is>
      </c>
      <c r="B5" s="16" t="inlineStr">
        <is>
          <t>n</t>
        </is>
      </c>
      <c r="C5" s="16" t="inlineStr">
        <is>
          <t>%</t>
        </is>
      </c>
    </row>
    <row r="6">
      <c r="A6" s="11" t="inlineStr">
        <is>
          <t>2022</t>
        </is>
      </c>
      <c r="B6" s="14">
        <f>COUNTIF(Included_102!$E$2:$E$103,2022)</f>
        <v/>
      </c>
      <c r="C6" s="17">
        <f>B6/B$11</f>
        <v/>
      </c>
    </row>
    <row r="7">
      <c r="A7" s="11" t="inlineStr">
        <is>
          <t>2023</t>
        </is>
      </c>
      <c r="B7" s="14">
        <f>COUNTIF(Included_102!$E$2:$E$103,2023)</f>
        <v/>
      </c>
      <c r="C7" s="17">
        <f>B7/B$11</f>
        <v/>
      </c>
    </row>
    <row r="8">
      <c r="A8" s="11" t="inlineStr">
        <is>
          <t>2024</t>
        </is>
      </c>
      <c r="B8" s="14">
        <f>COUNTIF(Included_102!$E$2:$E$103,2024)</f>
        <v/>
      </c>
      <c r="C8" s="17">
        <f>B8/B$11</f>
        <v/>
      </c>
    </row>
    <row r="9">
      <c r="A9" s="11" t="inlineStr">
        <is>
          <t>2025</t>
        </is>
      </c>
      <c r="B9" s="14">
        <f>COUNTIF(Included_102!$E$2:$E$103,2025)</f>
        <v/>
      </c>
      <c r="C9" s="17">
        <f>B9/B$11</f>
        <v/>
      </c>
    </row>
    <row r="10">
      <c r="A10" s="11" t="inlineStr">
        <is>
          <t>2026</t>
        </is>
      </c>
      <c r="B10" s="14">
        <f>COUNTIF(Included_102!$E$2:$E$103,2026)</f>
        <v/>
      </c>
      <c r="C10" s="17">
        <f>B10/B$11</f>
        <v/>
      </c>
    </row>
    <row r="11">
      <c r="A11" s="18" t="inlineStr">
        <is>
          <t>Total</t>
        </is>
      </c>
      <c r="B11" s="18">
        <f>SUM(B6:B10)</f>
        <v/>
      </c>
      <c r="C11" s="19">
        <f>B11/B11</f>
        <v/>
      </c>
    </row>
    <row r="14">
      <c r="A14" s="15" t="inlineStr">
        <is>
          <t>Main scale tier</t>
        </is>
      </c>
    </row>
    <row r="15">
      <c r="A15" s="16" t="inlineStr">
        <is>
          <t>Category</t>
        </is>
      </c>
      <c r="B15" s="16" t="inlineStr">
        <is>
          <t>n</t>
        </is>
      </c>
      <c r="C15" s="16" t="inlineStr">
        <is>
          <t>%</t>
        </is>
      </c>
    </row>
    <row r="16">
      <c r="A16" s="20" t="inlineStr">
        <is>
          <t>Lightweight</t>
        </is>
      </c>
      <c r="B16" s="14">
        <f>COUNTIF(Included_102!$R$2:$R$103,"Lightweight")</f>
        <v/>
      </c>
      <c r="C16" s="17">
        <f>B16/B$22</f>
        <v/>
      </c>
    </row>
    <row r="17">
      <c r="A17" s="21" t="inlineStr">
        <is>
          <t>Compact</t>
        </is>
      </c>
      <c r="B17" s="14">
        <f>COUNTIF(Included_102!$R$2:$R$103,"Compact")</f>
        <v/>
      </c>
      <c r="C17" s="17">
        <f>B17/B$22</f>
        <v/>
      </c>
    </row>
    <row r="18">
      <c r="A18" s="22" t="inlineStr">
        <is>
          <t>Moderate</t>
        </is>
      </c>
      <c r="B18" s="14">
        <f>COUNTIF(Included_102!$R$2:$R$103,"Moderate")</f>
        <v/>
      </c>
      <c r="C18" s="17">
        <f>B18/B$22</f>
        <v/>
      </c>
    </row>
    <row r="19">
      <c r="A19" s="23" t="inlineStr">
        <is>
          <t>Higher</t>
        </is>
      </c>
      <c r="B19" s="14">
        <f>COUNTIF(Included_102!$R$2:$R$103,"Higher")</f>
        <v/>
      </c>
      <c r="C19" s="17">
        <f>B19/B$22</f>
        <v/>
      </c>
    </row>
    <row r="20">
      <c r="A20" s="11" t="inlineStr">
        <is>
          <t>Mixed</t>
        </is>
      </c>
      <c r="B20" s="14">
        <f>COUNTIF(Included_102!$R$2:$R$103,"Mixed")</f>
        <v/>
      </c>
      <c r="C20" s="17">
        <f>B20/B$22</f>
        <v/>
      </c>
    </row>
    <row r="21">
      <c r="A21" s="11" t="inlineStr">
        <is>
          <t>Not stated</t>
        </is>
      </c>
      <c r="B21" s="14">
        <f>COUNTIF(Included_102!$R$2:$R$103,"Not stated")</f>
        <v/>
      </c>
      <c r="C21" s="17">
        <f>B21/B$22</f>
        <v/>
      </c>
    </row>
    <row r="22">
      <c r="A22" s="18" t="inlineStr">
        <is>
          <t>Total</t>
        </is>
      </c>
      <c r="B22" s="18">
        <f>SUM(B16:B21)</f>
        <v/>
      </c>
      <c r="C22" s="19">
        <f>B22/B22</f>
        <v/>
      </c>
    </row>
    <row r="25">
      <c r="A25" s="15" t="inlineStr">
        <is>
          <t>Application domain (Figure 4, Tables 4–5)</t>
        </is>
      </c>
    </row>
    <row r="26">
      <c r="A26" s="16" t="inlineStr">
        <is>
          <t>Category</t>
        </is>
      </c>
      <c r="B26" s="16" t="inlineStr">
        <is>
          <t>n</t>
        </is>
      </c>
      <c r="C26" s="16" t="inlineStr">
        <is>
          <t>%</t>
        </is>
      </c>
    </row>
    <row r="27">
      <c r="A27" s="11" t="inlineStr">
        <is>
          <t>Natural Language Processing</t>
        </is>
      </c>
      <c r="B27" s="14">
        <f>COUNTIF(Included_102!$U$2:$U$103,"Natural Language Processing")</f>
        <v/>
      </c>
      <c r="C27" s="17">
        <f>B27/B$37</f>
        <v/>
      </c>
    </row>
    <row r="28">
      <c r="A28" s="11" t="inlineStr">
        <is>
          <t>Agentic AI Applications</t>
        </is>
      </c>
      <c r="B28" s="14">
        <f>COUNTIF(Included_102!$U$2:$U$103,"Agentic AI Applications")</f>
        <v/>
      </c>
      <c r="C28" s="17">
        <f>B28/B$37</f>
        <v/>
      </c>
    </row>
    <row r="29">
      <c r="A29" s="11" t="inlineStr">
        <is>
          <t>Coding &amp; Software Eng.</t>
        </is>
      </c>
      <c r="B29" s="14">
        <f>COUNTIF(Included_102!$U$2:$U$103,"Coding &amp; Software Eng.")</f>
        <v/>
      </c>
      <c r="C29" s="17">
        <f>B29/B$37</f>
        <v/>
      </c>
    </row>
    <row r="30">
      <c r="A30" s="11" t="inlineStr">
        <is>
          <t>Healthcare &amp; Biomedical</t>
        </is>
      </c>
      <c r="B30" s="14">
        <f>COUNTIF(Included_102!$U$2:$U$103,"Healthcare &amp; Biomedical")</f>
        <v/>
      </c>
      <c r="C30" s="17">
        <f>B30/B$37</f>
        <v/>
      </c>
    </row>
    <row r="31">
      <c r="A31" s="11" t="inlineStr">
        <is>
          <t>Robotics &amp; Real-Time</t>
        </is>
      </c>
      <c r="B31" s="14">
        <f>COUNTIF(Included_102!$U$2:$U$103,"Robotics &amp; Real-Time")</f>
        <v/>
      </c>
      <c r="C31" s="17">
        <f>B31/B$37</f>
        <v/>
      </c>
    </row>
    <row r="32">
      <c r="A32" s="11" t="inlineStr">
        <is>
          <t>Audio &amp; Speech</t>
        </is>
      </c>
      <c r="B32" s="14">
        <f>COUNTIF(Included_102!$U$2:$U$103,"Audio &amp; Speech")</f>
        <v/>
      </c>
      <c r="C32" s="17">
        <f>B32/B$37</f>
        <v/>
      </c>
    </row>
    <row r="33">
      <c r="A33" s="11" t="inlineStr">
        <is>
          <t>Emerging &amp; Cross-Cutting</t>
        </is>
      </c>
      <c r="B33" s="14">
        <f>COUNTIF(Included_102!$U$2:$U$103,"Emerging &amp; Cross-Cutting")</f>
        <v/>
      </c>
      <c r="C33" s="17">
        <f>B33/B$37</f>
        <v/>
      </c>
    </row>
    <row r="34">
      <c r="A34" s="11" t="inlineStr">
        <is>
          <t>Sustainability, Materials &amp; Life Sci.</t>
        </is>
      </c>
      <c r="B34" s="14">
        <f>COUNTIF(Included_102!$U$2:$U$103,"Sustainability, Materials &amp; Life Sci.")</f>
        <v/>
      </c>
      <c r="C34" s="17">
        <f>B34/B$37</f>
        <v/>
      </c>
    </row>
    <row r="35">
      <c r="A35" s="11" t="inlineStr">
        <is>
          <t>Law &amp; Finance</t>
        </is>
      </c>
      <c r="B35" s="14">
        <f>COUNTIF(Included_102!$U$2:$U$103,"Law &amp; Finance")</f>
        <v/>
      </c>
      <c r="C35" s="17">
        <f>B35/B$37</f>
        <v/>
      </c>
    </row>
    <row r="36">
      <c r="A36" s="11" t="inlineStr">
        <is>
          <t>General (techniques / evaluation)</t>
        </is>
      </c>
      <c r="B36" s="14">
        <f>COUNTIF(Included_102!$U$2:$U$103,"General (techniques / evaluation)")</f>
        <v/>
      </c>
      <c r="C36" s="17">
        <f>B36/B$37</f>
        <v/>
      </c>
    </row>
    <row r="37">
      <c r="A37" s="18" t="inlineStr">
        <is>
          <t>Total</t>
        </is>
      </c>
      <c r="B37" s="18">
        <f>SUM(B27:B36)</f>
        <v/>
      </c>
      <c r="C37" s="19">
        <f>B37/B37</f>
        <v/>
      </c>
    </row>
    <row r="38">
      <c r="A38" s="24" t="inlineStr">
        <is>
          <t>Domain-specific (Figure 4)</t>
        </is>
      </c>
      <c r="B38" s="25">
        <f>COUNTIF(Included_102!$U$2:$U$103,"&lt;&gt;General (techniques / evaluation)")</f>
        <v/>
      </c>
    </row>
    <row r="42">
      <c r="A42" s="15" t="inlineStr">
        <is>
          <t>Publication status</t>
        </is>
      </c>
    </row>
    <row r="43">
      <c r="A43" s="16" t="inlineStr">
        <is>
          <t>Category</t>
        </is>
      </c>
      <c r="B43" s="16" t="inlineStr">
        <is>
          <t>n</t>
        </is>
      </c>
      <c r="C43" s="16" t="inlineStr">
        <is>
          <t>%</t>
        </is>
      </c>
    </row>
    <row r="44">
      <c r="A44" s="11" t="inlineStr">
        <is>
          <t>Peer-reviewed</t>
        </is>
      </c>
      <c r="B44" s="14">
        <f>COUNTIF(Included_102!$H$2:$H$103,"Peer-reviewed")</f>
        <v/>
      </c>
      <c r="C44" s="17">
        <f>B44/B$46</f>
        <v/>
      </c>
    </row>
    <row r="45">
      <c r="A45" s="11" t="inlineStr">
        <is>
          <t>Preprint</t>
        </is>
      </c>
      <c r="B45" s="14">
        <f>COUNTIF(Included_102!$H$2:$H$103,"Preprint")</f>
        <v/>
      </c>
      <c r="C45" s="17">
        <f>B45/B$46</f>
        <v/>
      </c>
    </row>
    <row r="46">
      <c r="A46" s="18" t="inlineStr">
        <is>
          <t>Total</t>
        </is>
      </c>
      <c r="B46" s="18">
        <f>SUM(B44:B45)</f>
        <v/>
      </c>
      <c r="C46" s="19">
        <f>B46/B46</f>
        <v/>
      </c>
    </row>
    <row r="49">
      <c r="A49" s="15" t="inlineStr">
        <is>
          <t>Preprint inclusion criteria (a study may meet more than one)</t>
        </is>
      </c>
    </row>
    <row r="50">
      <c r="A50" s="16" t="inlineStr">
        <is>
          <t>Criterion</t>
        </is>
      </c>
      <c r="B50" s="16" t="inlineStr">
        <is>
          <t>n</t>
        </is>
      </c>
    </row>
    <row r="51">
      <c r="A51" s="11" t="inlineStr">
        <is>
          <t>(a) Code or weights released</t>
        </is>
      </c>
      <c r="B51" s="25">
        <f>COUNTIF(Included_102!$K$2:$K$103,"Yes")</f>
        <v/>
      </c>
    </row>
    <row r="52">
      <c r="A52" s="11" t="inlineStr">
        <is>
          <t>(b) ≥ 5 citations</t>
        </is>
      </c>
      <c r="B52" s="25">
        <f>COUNTIF(Included_102!$L$2:$L$103,"Yes")</f>
        <v/>
      </c>
    </row>
    <row r="53">
      <c r="A53" s="11" t="inlineStr">
        <is>
          <t>(c) Technical report of a released model</t>
        </is>
      </c>
      <c r="B53" s="25">
        <f>COUNTIF(Included_102!$M$2:$M$103,"Yes")</f>
        <v/>
      </c>
    </row>
    <row r="56">
      <c r="A56" s="15" t="inlineStr">
        <is>
          <t>Sensitivity: studies using 7–10B models</t>
        </is>
      </c>
    </row>
    <row r="57">
      <c r="A57" s="16" t="inlineStr">
        <is>
          <t>Measure</t>
        </is>
      </c>
      <c r="B57" s="16" t="inlineStr">
        <is>
          <t>n</t>
        </is>
      </c>
    </row>
    <row r="58">
      <c r="A58" t="inlineStr">
        <is>
          <t>Studies that use at least one 7–10B model</t>
        </is>
      </c>
      <c r="B58" s="25">
        <f>COUNTIF(Included_102!$T$2:$T$103,"Yes")</f>
        <v/>
      </c>
    </row>
    <row r="59">
      <c r="A59" t="inlineStr">
        <is>
          <t>Studies that use only 7–10B models</t>
        </is>
      </c>
      <c r="B59" s="25">
        <f>COUNTIF(Included_102!$S$2:$S$103,"Higher")</f>
        <v/>
      </c>
    </row>
    <row r="62">
      <c r="A62" s="15" t="inlineStr">
        <is>
          <t>Main tier × domain (Table 5)</t>
        </is>
      </c>
    </row>
    <row r="63">
      <c r="A63" s="16" t="inlineStr">
        <is>
          <t>Domain</t>
        </is>
      </c>
      <c r="B63" s="16" t="inlineStr">
        <is>
          <t>Lightweight</t>
        </is>
      </c>
      <c r="C63" s="16" t="inlineStr">
        <is>
          <t>Compact</t>
        </is>
      </c>
      <c r="D63" s="16" t="inlineStr">
        <is>
          <t>Moderate</t>
        </is>
      </c>
      <c r="E63" s="16" t="inlineStr">
        <is>
          <t>Higher</t>
        </is>
      </c>
      <c r="F63" s="16" t="inlineStr">
        <is>
          <t>Mixed</t>
        </is>
      </c>
      <c r="G63" s="16" t="inlineStr">
        <is>
          <t>Not stated</t>
        </is>
      </c>
      <c r="H63" s="16" t="inlineStr">
        <is>
          <t>Total</t>
        </is>
      </c>
    </row>
    <row r="64">
      <c r="A64" s="11" t="inlineStr">
        <is>
          <t>Natural Language Processing</t>
        </is>
      </c>
      <c r="B64" s="20">
        <f>COUNTIFS(Included_102!$U$2:$U$103,"Natural Language Processing",Included_102!$R$2:$R$103,"Lightweight")</f>
        <v/>
      </c>
      <c r="C64" s="21">
        <f>COUNTIFS(Included_102!$U$2:$U$103,"Natural Language Processing",Included_102!$R$2:$R$103,"Compact")</f>
        <v/>
      </c>
      <c r="D64" s="22">
        <f>COUNTIFS(Included_102!$U$2:$U$103,"Natural Language Processing",Included_102!$R$2:$R$103,"Moderate")</f>
        <v/>
      </c>
      <c r="E64" s="23">
        <f>COUNTIFS(Included_102!$U$2:$U$103,"Natural Language Processing",Included_102!$R$2:$R$103,"Higher")</f>
        <v/>
      </c>
      <c r="F64" s="11">
        <f>COUNTIFS(Included_102!$U$2:$U$103,"Natural Language Processing",Included_102!$R$2:$R$103,"Mixed")</f>
        <v/>
      </c>
      <c r="G64" s="11">
        <f>COUNTIFS(Included_102!$U$2:$U$103,"Natural Language Processing",Included_102!$R$2:$R$103,"Not stated")</f>
        <v/>
      </c>
      <c r="H64" s="26">
        <f>SUM(B64:G64)</f>
        <v/>
      </c>
    </row>
    <row r="65">
      <c r="A65" s="11" t="inlineStr">
        <is>
          <t>Agentic AI Applications</t>
        </is>
      </c>
      <c r="B65" s="20">
        <f>COUNTIFS(Included_102!$U$2:$U$103,"Agentic AI Applications",Included_102!$R$2:$R$103,"Lightweight")</f>
        <v/>
      </c>
      <c r="C65" s="21">
        <f>COUNTIFS(Included_102!$U$2:$U$103,"Agentic AI Applications",Included_102!$R$2:$R$103,"Compact")</f>
        <v/>
      </c>
      <c r="D65" s="22">
        <f>COUNTIFS(Included_102!$U$2:$U$103,"Agentic AI Applications",Included_102!$R$2:$R$103,"Moderate")</f>
        <v/>
      </c>
      <c r="E65" s="23">
        <f>COUNTIFS(Included_102!$U$2:$U$103,"Agentic AI Applications",Included_102!$R$2:$R$103,"Higher")</f>
        <v/>
      </c>
      <c r="F65" s="11">
        <f>COUNTIFS(Included_102!$U$2:$U$103,"Agentic AI Applications",Included_102!$R$2:$R$103,"Mixed")</f>
        <v/>
      </c>
      <c r="G65" s="11">
        <f>COUNTIFS(Included_102!$U$2:$U$103,"Agentic AI Applications",Included_102!$R$2:$R$103,"Not stated")</f>
        <v/>
      </c>
      <c r="H65" s="26">
        <f>SUM(B65:G65)</f>
        <v/>
      </c>
    </row>
    <row r="66">
      <c r="A66" s="11" t="inlineStr">
        <is>
          <t>Coding &amp; Software Eng.</t>
        </is>
      </c>
      <c r="B66" s="20">
        <f>COUNTIFS(Included_102!$U$2:$U$103,"Coding &amp; Software Eng.",Included_102!$R$2:$R$103,"Lightweight")</f>
        <v/>
      </c>
      <c r="C66" s="21">
        <f>COUNTIFS(Included_102!$U$2:$U$103,"Coding &amp; Software Eng.",Included_102!$R$2:$R$103,"Compact")</f>
        <v/>
      </c>
      <c r="D66" s="22">
        <f>COUNTIFS(Included_102!$U$2:$U$103,"Coding &amp; Software Eng.",Included_102!$R$2:$R$103,"Moderate")</f>
        <v/>
      </c>
      <c r="E66" s="23">
        <f>COUNTIFS(Included_102!$U$2:$U$103,"Coding &amp; Software Eng.",Included_102!$R$2:$R$103,"Higher")</f>
        <v/>
      </c>
      <c r="F66" s="11">
        <f>COUNTIFS(Included_102!$U$2:$U$103,"Coding &amp; Software Eng.",Included_102!$R$2:$R$103,"Mixed")</f>
        <v/>
      </c>
      <c r="G66" s="11">
        <f>COUNTIFS(Included_102!$U$2:$U$103,"Coding &amp; Software Eng.",Included_102!$R$2:$R$103,"Not stated")</f>
        <v/>
      </c>
      <c r="H66" s="26">
        <f>SUM(B66:G66)</f>
        <v/>
      </c>
    </row>
    <row r="67">
      <c r="A67" s="11" t="inlineStr">
        <is>
          <t>Healthcare &amp; Biomedical</t>
        </is>
      </c>
      <c r="B67" s="20">
        <f>COUNTIFS(Included_102!$U$2:$U$103,"Healthcare &amp; Biomedical",Included_102!$R$2:$R$103,"Lightweight")</f>
        <v/>
      </c>
      <c r="C67" s="21">
        <f>COUNTIFS(Included_102!$U$2:$U$103,"Healthcare &amp; Biomedical",Included_102!$R$2:$R$103,"Compact")</f>
        <v/>
      </c>
      <c r="D67" s="22">
        <f>COUNTIFS(Included_102!$U$2:$U$103,"Healthcare &amp; Biomedical",Included_102!$R$2:$R$103,"Moderate")</f>
        <v/>
      </c>
      <c r="E67" s="23">
        <f>COUNTIFS(Included_102!$U$2:$U$103,"Healthcare &amp; Biomedical",Included_102!$R$2:$R$103,"Higher")</f>
        <v/>
      </c>
      <c r="F67" s="11">
        <f>COUNTIFS(Included_102!$U$2:$U$103,"Healthcare &amp; Biomedical",Included_102!$R$2:$R$103,"Mixed")</f>
        <v/>
      </c>
      <c r="G67" s="11">
        <f>COUNTIFS(Included_102!$U$2:$U$103,"Healthcare &amp; Biomedical",Included_102!$R$2:$R$103,"Not stated")</f>
        <v/>
      </c>
      <c r="H67" s="26">
        <f>SUM(B67:G67)</f>
        <v/>
      </c>
    </row>
    <row r="68">
      <c r="A68" s="11" t="inlineStr">
        <is>
          <t>Robotics &amp; Real-Time</t>
        </is>
      </c>
      <c r="B68" s="20">
        <f>COUNTIFS(Included_102!$U$2:$U$103,"Robotics &amp; Real-Time",Included_102!$R$2:$R$103,"Lightweight")</f>
        <v/>
      </c>
      <c r="C68" s="21">
        <f>COUNTIFS(Included_102!$U$2:$U$103,"Robotics &amp; Real-Time",Included_102!$R$2:$R$103,"Compact")</f>
        <v/>
      </c>
      <c r="D68" s="22">
        <f>COUNTIFS(Included_102!$U$2:$U$103,"Robotics &amp; Real-Time",Included_102!$R$2:$R$103,"Moderate")</f>
        <v/>
      </c>
      <c r="E68" s="23">
        <f>COUNTIFS(Included_102!$U$2:$U$103,"Robotics &amp; Real-Time",Included_102!$R$2:$R$103,"Higher")</f>
        <v/>
      </c>
      <c r="F68" s="11">
        <f>COUNTIFS(Included_102!$U$2:$U$103,"Robotics &amp; Real-Time",Included_102!$R$2:$R$103,"Mixed")</f>
        <v/>
      </c>
      <c r="G68" s="11">
        <f>COUNTIFS(Included_102!$U$2:$U$103,"Robotics &amp; Real-Time",Included_102!$R$2:$R$103,"Not stated")</f>
        <v/>
      </c>
      <c r="H68" s="26">
        <f>SUM(B68:G68)</f>
        <v/>
      </c>
    </row>
    <row r="69">
      <c r="A69" s="11" t="inlineStr">
        <is>
          <t>Audio &amp; Speech</t>
        </is>
      </c>
      <c r="B69" s="20">
        <f>COUNTIFS(Included_102!$U$2:$U$103,"Audio &amp; Speech",Included_102!$R$2:$R$103,"Lightweight")</f>
        <v/>
      </c>
      <c r="C69" s="21">
        <f>COUNTIFS(Included_102!$U$2:$U$103,"Audio &amp; Speech",Included_102!$R$2:$R$103,"Compact")</f>
        <v/>
      </c>
      <c r="D69" s="22">
        <f>COUNTIFS(Included_102!$U$2:$U$103,"Audio &amp; Speech",Included_102!$R$2:$R$103,"Moderate")</f>
        <v/>
      </c>
      <c r="E69" s="23">
        <f>COUNTIFS(Included_102!$U$2:$U$103,"Audio &amp; Speech",Included_102!$R$2:$R$103,"Higher")</f>
        <v/>
      </c>
      <c r="F69" s="11">
        <f>COUNTIFS(Included_102!$U$2:$U$103,"Audio &amp; Speech",Included_102!$R$2:$R$103,"Mixed")</f>
        <v/>
      </c>
      <c r="G69" s="11">
        <f>COUNTIFS(Included_102!$U$2:$U$103,"Audio &amp; Speech",Included_102!$R$2:$R$103,"Not stated")</f>
        <v/>
      </c>
      <c r="H69" s="26">
        <f>SUM(B69:G69)</f>
        <v/>
      </c>
    </row>
    <row r="70">
      <c r="A70" s="11" t="inlineStr">
        <is>
          <t>Emerging &amp; Cross-Cutting</t>
        </is>
      </c>
      <c r="B70" s="20">
        <f>COUNTIFS(Included_102!$U$2:$U$103,"Emerging &amp; Cross-Cutting",Included_102!$R$2:$R$103,"Lightweight")</f>
        <v/>
      </c>
      <c r="C70" s="21">
        <f>COUNTIFS(Included_102!$U$2:$U$103,"Emerging &amp; Cross-Cutting",Included_102!$R$2:$R$103,"Compact")</f>
        <v/>
      </c>
      <c r="D70" s="22">
        <f>COUNTIFS(Included_102!$U$2:$U$103,"Emerging &amp; Cross-Cutting",Included_102!$R$2:$R$103,"Moderate")</f>
        <v/>
      </c>
      <c r="E70" s="23">
        <f>COUNTIFS(Included_102!$U$2:$U$103,"Emerging &amp; Cross-Cutting",Included_102!$R$2:$R$103,"Higher")</f>
        <v/>
      </c>
      <c r="F70" s="11">
        <f>COUNTIFS(Included_102!$U$2:$U$103,"Emerging &amp; Cross-Cutting",Included_102!$R$2:$R$103,"Mixed")</f>
        <v/>
      </c>
      <c r="G70" s="11">
        <f>COUNTIFS(Included_102!$U$2:$U$103,"Emerging &amp; Cross-Cutting",Included_102!$R$2:$R$103,"Not stated")</f>
        <v/>
      </c>
      <c r="H70" s="26">
        <f>SUM(B70:G70)</f>
        <v/>
      </c>
    </row>
    <row r="71">
      <c r="A71" s="11" t="inlineStr">
        <is>
          <t>Sustainability, Materials &amp; Life Sci.</t>
        </is>
      </c>
      <c r="B71" s="20">
        <f>COUNTIFS(Included_102!$U$2:$U$103,"Sustainability, Materials &amp; Life Sci.",Included_102!$R$2:$R$103,"Lightweight")</f>
        <v/>
      </c>
      <c r="C71" s="21">
        <f>COUNTIFS(Included_102!$U$2:$U$103,"Sustainability, Materials &amp; Life Sci.",Included_102!$R$2:$R$103,"Compact")</f>
        <v/>
      </c>
      <c r="D71" s="22">
        <f>COUNTIFS(Included_102!$U$2:$U$103,"Sustainability, Materials &amp; Life Sci.",Included_102!$R$2:$R$103,"Moderate")</f>
        <v/>
      </c>
      <c r="E71" s="23">
        <f>COUNTIFS(Included_102!$U$2:$U$103,"Sustainability, Materials &amp; Life Sci.",Included_102!$R$2:$R$103,"Higher")</f>
        <v/>
      </c>
      <c r="F71" s="11">
        <f>COUNTIFS(Included_102!$U$2:$U$103,"Sustainability, Materials &amp; Life Sci.",Included_102!$R$2:$R$103,"Mixed")</f>
        <v/>
      </c>
      <c r="G71" s="11">
        <f>COUNTIFS(Included_102!$U$2:$U$103,"Sustainability, Materials &amp; Life Sci.",Included_102!$R$2:$R$103,"Not stated")</f>
        <v/>
      </c>
      <c r="H71" s="26">
        <f>SUM(B71:G71)</f>
        <v/>
      </c>
    </row>
    <row r="72">
      <c r="A72" s="11" t="inlineStr">
        <is>
          <t>Law &amp; Finance</t>
        </is>
      </c>
      <c r="B72" s="20">
        <f>COUNTIFS(Included_102!$U$2:$U$103,"Law &amp; Finance",Included_102!$R$2:$R$103,"Lightweight")</f>
        <v/>
      </c>
      <c r="C72" s="21">
        <f>COUNTIFS(Included_102!$U$2:$U$103,"Law &amp; Finance",Included_102!$R$2:$R$103,"Compact")</f>
        <v/>
      </c>
      <c r="D72" s="22">
        <f>COUNTIFS(Included_102!$U$2:$U$103,"Law &amp; Finance",Included_102!$R$2:$R$103,"Moderate")</f>
        <v/>
      </c>
      <c r="E72" s="23">
        <f>COUNTIFS(Included_102!$U$2:$U$103,"Law &amp; Finance",Included_102!$R$2:$R$103,"Higher")</f>
        <v/>
      </c>
      <c r="F72" s="11">
        <f>COUNTIFS(Included_102!$U$2:$U$103,"Law &amp; Finance",Included_102!$R$2:$R$103,"Mixed")</f>
        <v/>
      </c>
      <c r="G72" s="11">
        <f>COUNTIFS(Included_102!$U$2:$U$103,"Law &amp; Finance",Included_102!$R$2:$R$103,"Not stated")</f>
        <v/>
      </c>
      <c r="H72" s="26">
        <f>SUM(B72:G72)</f>
        <v/>
      </c>
    </row>
    <row r="73">
      <c r="A73" s="11" t="inlineStr">
        <is>
          <t>General (techniques / evaluation)</t>
        </is>
      </c>
      <c r="B73" s="20">
        <f>COUNTIFS(Included_102!$U$2:$U$103,"General (techniques / evaluation)",Included_102!$R$2:$R$103,"Lightweight")</f>
        <v/>
      </c>
      <c r="C73" s="21">
        <f>COUNTIFS(Included_102!$U$2:$U$103,"General (techniques / evaluation)",Included_102!$R$2:$R$103,"Compact")</f>
        <v/>
      </c>
      <c r="D73" s="22">
        <f>COUNTIFS(Included_102!$U$2:$U$103,"General (techniques / evaluation)",Included_102!$R$2:$R$103,"Moderate")</f>
        <v/>
      </c>
      <c r="E73" s="23">
        <f>COUNTIFS(Included_102!$U$2:$U$103,"General (techniques / evaluation)",Included_102!$R$2:$R$103,"Higher")</f>
        <v/>
      </c>
      <c r="F73" s="11">
        <f>COUNTIFS(Included_102!$U$2:$U$103,"General (techniques / evaluation)",Included_102!$R$2:$R$103,"Mixed")</f>
        <v/>
      </c>
      <c r="G73" s="11">
        <f>COUNTIFS(Included_102!$U$2:$U$103,"General (techniques / evaluation)",Included_102!$R$2:$R$103,"Not stated")</f>
        <v/>
      </c>
      <c r="H73" s="26">
        <f>SUM(B73:G73)</f>
        <v/>
      </c>
    </row>
    <row r="74">
      <c r="A74" s="24" t="inlineStr">
        <is>
          <t>Total</t>
        </is>
      </c>
      <c r="B74" s="26">
        <f>SUM(B64:B73)</f>
        <v/>
      </c>
      <c r="C74" s="26">
        <f>SUM(C64:C73)</f>
        <v/>
      </c>
      <c r="D74" s="26">
        <f>SUM(D64:D73)</f>
        <v/>
      </c>
      <c r="E74" s="26">
        <f>SUM(E64:E73)</f>
        <v/>
      </c>
      <c r="F74" s="26">
        <f>SUM(F64:F73)</f>
        <v/>
      </c>
      <c r="G74" s="26">
        <f>SUM(G64:G73)</f>
        <v/>
      </c>
      <c r="H74" s="26">
        <f>SUM(H64:H73)</f>
        <v/>
      </c>
    </row>
    <row r="78">
      <c r="A78" s="15" t="inlineStr">
        <is>
          <t>First-author country (Figure 2)</t>
        </is>
      </c>
    </row>
    <row r="79">
      <c r="A79" s="16" t="inlineStr">
        <is>
          <t>Category</t>
        </is>
      </c>
      <c r="B79" s="16" t="inlineStr">
        <is>
          <t>n</t>
        </is>
      </c>
      <c r="C79" s="16" t="inlineStr">
        <is>
          <t>%</t>
        </is>
      </c>
    </row>
    <row r="80">
      <c r="A80" s="11" t="inlineStr">
        <is>
          <t>United States</t>
        </is>
      </c>
      <c r="B80" s="14">
        <f>COUNTIF(Included_102!$Z$2:$Z$103,"United States")</f>
        <v/>
      </c>
      <c r="C80" s="17">
        <f>B80/B$107</f>
        <v/>
      </c>
    </row>
    <row r="81">
      <c r="A81" s="11" t="inlineStr">
        <is>
          <t>China</t>
        </is>
      </c>
      <c r="B81" s="14">
        <f>COUNTIF(Included_102!$Z$2:$Z$103,"China")</f>
        <v/>
      </c>
      <c r="C81" s="17">
        <f>B81/B$107</f>
        <v/>
      </c>
    </row>
    <row r="82">
      <c r="A82" s="11" t="inlineStr">
        <is>
          <t>India</t>
        </is>
      </c>
      <c r="B82" s="14">
        <f>COUNTIF(Included_102!$Z$2:$Z$103,"India")</f>
        <v/>
      </c>
      <c r="C82" s="17">
        <f>B82/B$107</f>
        <v/>
      </c>
    </row>
    <row r="83">
      <c r="A83" s="11" t="inlineStr">
        <is>
          <t>Germany</t>
        </is>
      </c>
      <c r="B83" s="14">
        <f>COUNTIF(Included_102!$Z$2:$Z$103,"Germany")</f>
        <v/>
      </c>
      <c r="C83" s="17">
        <f>B83/B$107</f>
        <v/>
      </c>
    </row>
    <row r="84">
      <c r="A84" s="11" t="inlineStr">
        <is>
          <t>South Korea</t>
        </is>
      </c>
      <c r="B84" s="14">
        <f>COUNTIF(Included_102!$Z$2:$Z$103,"South Korea")</f>
        <v/>
      </c>
      <c r="C84" s="17">
        <f>B84/B$107</f>
        <v/>
      </c>
    </row>
    <row r="85">
      <c r="A85" s="11" t="inlineStr">
        <is>
          <t>Saudi Arabia</t>
        </is>
      </c>
      <c r="B85" s="14">
        <f>COUNTIF(Included_102!$Z$2:$Z$103,"Saudi Arabia")</f>
        <v/>
      </c>
      <c r="C85" s="17">
        <f>B85/B$107</f>
        <v/>
      </c>
    </row>
    <row r="86">
      <c r="A86" s="11" t="inlineStr">
        <is>
          <t>Taiwan</t>
        </is>
      </c>
      <c r="B86" s="14">
        <f>COUNTIF(Included_102!$Z$2:$Z$103,"Taiwan")</f>
        <v/>
      </c>
      <c r="C86" s="17">
        <f>B86/B$107</f>
        <v/>
      </c>
    </row>
    <row r="87">
      <c r="A87" s="11" t="inlineStr">
        <is>
          <t>Finland</t>
        </is>
      </c>
      <c r="B87" s="14">
        <f>COUNTIF(Included_102!$Z$2:$Z$103,"Finland")</f>
        <v/>
      </c>
      <c r="C87" s="17">
        <f>B87/B$107</f>
        <v/>
      </c>
    </row>
    <row r="88">
      <c r="A88" s="11" t="inlineStr">
        <is>
          <t>France</t>
        </is>
      </c>
      <c r="B88" s="14">
        <f>COUNTIF(Included_102!$Z$2:$Z$103,"France")</f>
        <v/>
      </c>
      <c r="C88" s="17">
        <f>B88/B$107</f>
        <v/>
      </c>
    </row>
    <row r="89">
      <c r="A89" s="11" t="inlineStr">
        <is>
          <t>Singapore</t>
        </is>
      </c>
      <c r="B89" s="14">
        <f>COUNTIF(Included_102!$Z$2:$Z$103,"Singapore")</f>
        <v/>
      </c>
      <c r="C89" s="17">
        <f>B89/B$107</f>
        <v/>
      </c>
    </row>
    <row r="90">
      <c r="A90" s="11" t="inlineStr">
        <is>
          <t>Australia</t>
        </is>
      </c>
      <c r="B90" s="14">
        <f>COUNTIF(Included_102!$Z$2:$Z$103,"Australia")</f>
        <v/>
      </c>
      <c r="C90" s="17">
        <f>B90/B$107</f>
        <v/>
      </c>
    </row>
    <row r="91">
      <c r="A91" s="11" t="inlineStr">
        <is>
          <t>Brazil</t>
        </is>
      </c>
      <c r="B91" s="14">
        <f>COUNTIF(Included_102!$Z$2:$Z$103,"Brazil")</f>
        <v/>
      </c>
      <c r="C91" s="17">
        <f>B91/B$107</f>
        <v/>
      </c>
    </row>
    <row r="92">
      <c r="A92" s="11" t="inlineStr">
        <is>
          <t>Bulgaria</t>
        </is>
      </c>
      <c r="B92" s="14">
        <f>COUNTIF(Included_102!$Z$2:$Z$103,"Bulgaria")</f>
        <v/>
      </c>
      <c r="C92" s="17">
        <f>B92/B$107</f>
        <v/>
      </c>
    </row>
    <row r="93">
      <c r="A93" s="11" t="inlineStr">
        <is>
          <t>Chile</t>
        </is>
      </c>
      <c r="B93" s="14">
        <f>COUNTIF(Included_102!$Z$2:$Z$103,"Chile")</f>
        <v/>
      </c>
      <c r="C93" s="17">
        <f>B93/B$107</f>
        <v/>
      </c>
    </row>
    <row r="94">
      <c r="A94" s="11" t="inlineStr">
        <is>
          <t>Hungary</t>
        </is>
      </c>
      <c r="B94" s="14">
        <f>COUNTIF(Included_102!$Z$2:$Z$103,"Hungary")</f>
        <v/>
      </c>
      <c r="C94" s="17">
        <f>B94/B$107</f>
        <v/>
      </c>
    </row>
    <row r="95">
      <c r="A95" s="11" t="inlineStr">
        <is>
          <t>Israel</t>
        </is>
      </c>
      <c r="B95" s="14">
        <f>COUNTIF(Included_102!$Z$2:$Z$103,"Israel")</f>
        <v/>
      </c>
      <c r="C95" s="17">
        <f>B95/B$107</f>
        <v/>
      </c>
    </row>
    <row r="96">
      <c r="A96" s="11" t="inlineStr">
        <is>
          <t>Italy</t>
        </is>
      </c>
      <c r="B96" s="14">
        <f>COUNTIF(Included_102!$Z$2:$Z$103,"Italy")</f>
        <v/>
      </c>
      <c r="C96" s="17">
        <f>B96/B$107</f>
        <v/>
      </c>
    </row>
    <row r="97">
      <c r="A97" s="11" t="inlineStr">
        <is>
          <t>Netherlands</t>
        </is>
      </c>
      <c r="B97" s="14">
        <f>COUNTIF(Included_102!$Z$2:$Z$103,"Netherlands")</f>
        <v/>
      </c>
      <c r="C97" s="17">
        <f>B97/B$107</f>
        <v/>
      </c>
    </row>
    <row r="98">
      <c r="A98" s="11" t="inlineStr">
        <is>
          <t>Nigeria</t>
        </is>
      </c>
      <c r="B98" s="14">
        <f>COUNTIF(Included_102!$Z$2:$Z$103,"Nigeria")</f>
        <v/>
      </c>
      <c r="C98" s="17">
        <f>B98/B$107</f>
        <v/>
      </c>
    </row>
    <row r="99">
      <c r="A99" s="11" t="inlineStr">
        <is>
          <t>Norway</t>
        </is>
      </c>
      <c r="B99" s="14">
        <f>COUNTIF(Included_102!$Z$2:$Z$103,"Norway")</f>
        <v/>
      </c>
      <c r="C99" s="17">
        <f>B99/B$107</f>
        <v/>
      </c>
    </row>
    <row r="100">
      <c r="A100" s="11" t="inlineStr">
        <is>
          <t>Pakistan</t>
        </is>
      </c>
      <c r="B100" s="14">
        <f>COUNTIF(Included_102!$Z$2:$Z$103,"Pakistan")</f>
        <v/>
      </c>
      <c r="C100" s="17">
        <f>B100/B$107</f>
        <v/>
      </c>
    </row>
    <row r="101">
      <c r="A101" s="11" t="inlineStr">
        <is>
          <t>Qatar</t>
        </is>
      </c>
      <c r="B101" s="14">
        <f>COUNTIF(Included_102!$Z$2:$Z$103,"Qatar")</f>
        <v/>
      </c>
      <c r="C101" s="17">
        <f>B101/B$107</f>
        <v/>
      </c>
    </row>
    <row r="102">
      <c r="A102" s="11" t="inlineStr">
        <is>
          <t>South Africa</t>
        </is>
      </c>
      <c r="B102" s="14">
        <f>COUNTIF(Included_102!$Z$2:$Z$103,"South Africa")</f>
        <v/>
      </c>
      <c r="C102" s="17">
        <f>B102/B$107</f>
        <v/>
      </c>
    </row>
    <row r="103">
      <c r="A103" s="11" t="inlineStr">
        <is>
          <t>Spain</t>
        </is>
      </c>
      <c r="B103" s="14">
        <f>COUNTIF(Included_102!$Z$2:$Z$103,"Spain")</f>
        <v/>
      </c>
      <c r="C103" s="17">
        <f>B103/B$107</f>
        <v/>
      </c>
    </row>
    <row r="104">
      <c r="A104" s="11" t="inlineStr">
        <is>
          <t>Turkey</t>
        </is>
      </c>
      <c r="B104" s="14">
        <f>COUNTIF(Included_102!$Z$2:$Z$103,"Turkey")</f>
        <v/>
      </c>
      <c r="C104" s="17">
        <f>B104/B$107</f>
        <v/>
      </c>
    </row>
    <row r="105">
      <c r="A105" s="11" t="inlineStr">
        <is>
          <t>United Kingdom</t>
        </is>
      </c>
      <c r="B105" s="14">
        <f>COUNTIF(Included_102!$Z$2:$Z$103,"United Kingdom")</f>
        <v/>
      </c>
      <c r="C105" s="17">
        <f>B105/B$107</f>
        <v/>
      </c>
    </row>
    <row r="106">
      <c r="A106" s="11" t="inlineStr">
        <is>
          <t>Vietnam</t>
        </is>
      </c>
      <c r="B106" s="14">
        <f>COUNTIF(Included_102!$Z$2:$Z$103,"Vietnam")</f>
        <v/>
      </c>
      <c r="C106" s="17">
        <f>B106/B$107</f>
        <v/>
      </c>
    </row>
    <row r="107">
      <c r="A107" s="18" t="inlineStr">
        <is>
          <t>Total</t>
        </is>
      </c>
      <c r="B107" s="18">
        <f>SUM(B80:B106)</f>
        <v/>
      </c>
      <c r="C107" s="19">
        <f>B107/B107</f>
        <v/>
      </c>
    </row>
    <row r="108">
      <c r="A108" s="24" t="inlineStr">
        <is>
          <t>Countries represented</t>
        </is>
      </c>
      <c r="B108" s="25">
        <f>SUMPRODUCT(1/COUNTIF(Included_102!$Z$2:$Z$103,Included_102!$Z$2:$Z$103))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2026-10-17T16:47:32Z</dcterms:created>
  <dcterms:modified xmlns:dcterms="http://purl.org/dc/terms/" xmlns:xsi="http://www.w3.org/2001/XMLSchema-instance" xsi:type="dcterms:W3CDTF">2026-10-26T21:40:58Z</dcterms:modified>
</cp:coreProperties>
</file>